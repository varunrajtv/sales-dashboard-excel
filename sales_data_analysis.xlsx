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arun\Desktop\excel\"/>
    </mc:Choice>
  </mc:AlternateContent>
  <xr:revisionPtr revIDLastSave="0" documentId="8_{6D195D6C-EA8F-46BB-933E-DBB0DE4C4A9A}" xr6:coauthVersionLast="47" xr6:coauthVersionMax="47" xr10:uidLastSave="{00000000-0000-0000-0000-000000000000}"/>
  <bookViews>
    <workbookView xWindow="-108" yWindow="-108" windowWidth="23256" windowHeight="12456" activeTab="3" xr2:uid="{49E79202-4F3D-4E3D-8400-80C6B434E6BD}"/>
  </bookViews>
  <sheets>
    <sheet name="sales_data" sheetId="1" r:id="rId1"/>
    <sheet name="Cleaned_data" sheetId="2" r:id="rId2"/>
    <sheet name="pivot_table" sheetId="3" r:id="rId3"/>
    <sheet name="dashboard" sheetId="4" r:id="rId4"/>
  </sheets>
  <definedNames>
    <definedName name="Slicer_month">#N/A</definedName>
    <definedName name="Slicer_Product_Category">#N/A</definedName>
    <definedName name="Slicer_Region">#N/A</definedName>
    <definedName name="Slicer_Sales_Channel">#N/A</definedName>
    <definedName name="Slicer_Sales_Rep">#N/A</definedName>
    <definedName name="Slicer_year">#N/A</definedName>
  </definedNames>
  <calcPr calcId="0"/>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alcChain>
</file>

<file path=xl/sharedStrings.xml><?xml version="1.0" encoding="utf-8"?>
<sst xmlns="http://schemas.openxmlformats.org/spreadsheetml/2006/main" count="13090" uniqueCount="74">
  <si>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</si>
  <si>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</si>
  <si>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</si>
  <si>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</si>
  <si>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</si>
  <si>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</si>
  <si>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</si>
  <si>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</si>
  <si>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</si>
  <si>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</si>
  <si>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</si>
  <si>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</si>
  <si>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</si>
  <si>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</si>
  <si>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</si>
  <si>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</si>
  <si>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</si>
  <si>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</si>
  <si>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</si>
  <si>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</si>
  <si>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</si>
  <si>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</si>
  <si>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</si>
  <si>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</si>
  <si>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</si>
  <si>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</si>
  <si>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</si>
  <si>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</si>
  <si>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</si>
  <si>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</si>
  <si>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</si>
  <si>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</si>
  <si>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</si>
  <si>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</si>
  <si>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</si>
  <si>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</si>
  <si>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</si>
  <si>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</si>
  <si>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</si>
  <si>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</si>
  <si>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</si>
  <si>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</si>
  <si>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</si>
  <si>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</si>
  <si>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</si>
  <si>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</si>
  <si>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</si>
  <si>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</si>
  <si>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</si>
  <si>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</si>
  <si>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</si>
  <si>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</si>
  <si>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</si>
  <si>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</si>
  <si>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month</t>
  </si>
  <si>
    <t>year</t>
  </si>
  <si>
    <t>TOTAL_REVENUE</t>
  </si>
  <si>
    <t>Total_profit</t>
  </si>
  <si>
    <t>Row Labels</t>
  </si>
  <si>
    <t>Grand Total</t>
  </si>
  <si>
    <t>Sum of TOTAL_REVENUE</t>
  </si>
  <si>
    <t>May</t>
  </si>
  <si>
    <t>Sum of Total_profit</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</si>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</sst>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quot;L&quot;"/>
    <numFmt numFmtId="169" formatCode="#,##0.00,,&quot;L&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169" formatCode="#,##0.00,,&quot;L&quot;"/>
    </dxf>
    <dxf>
      <numFmt numFmtId="169" formatCode="#,##0.00,,&quot;L&quot;"/>
    </dxf>
    <dxf>
      <numFmt numFmtId="169" formatCode="#,##0.00,,&quot;L&quot;"/>
    </dxf>
    <dxf>
      <numFmt numFmtId="169" formatCode="#,##0.00,,&quot;L&quot;"/>
    </dxf>
    <dxf>
      <numFmt numFmtId="169" formatCode="#,##0.00,,&quot;L&quot;"/>
    </dxf>
    <dxf>
      <numFmt numFmtId="168"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9"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68" formatCode="#,##0.00,&quot;L&quot;"/>
    </dxf>
    <dxf>
      <numFmt numFmtId="19" formatCode="dd/mm/yyyy"/>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[sales_data_analysis.xlsx]pivot_table!PivotTable1</c:name>
    <c:fmtId val="5"/>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r>
              <a:rPr lang="en-IN" sz="1200" b="1" i="0" u="none" strike="noStrike" kern="1200" spc="0" baseline="0">
                <a:solidFill>
                  <a:schemeClr val="tx1"/>
                </a:solidFill>
                <a:latin typeface="+mn-lt"/>
                <a:ea typeface="+mn-ea"/>
                <a:cs typeface="+mn-cs"/>
              </a:rPr>
              <a:t>Total revenue by region</a:t>
            </a:r>
          </a:p>
        </c:rich>
      </c:tx>
      <c:layout>
        <c:manualLayout>
          <c:xMode val="edge"/>
          <c:yMode val="edge"/>
          <c:x val="0.18768041198863172"/>
          <c:y val="7.8614693395709798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3-4FB4-8417-D6B4957530CF}"/>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20A3-4FB4-8417-D6B4957530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A3-4FB4-8417-D6B4957530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A3-4FB4-8417-D6B4957530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pivot_table!$A$4:$A$8</c:f>
              <c:strCache>
                <c:ptCount val="4"/>
                <c:pt idx="0">
                  <c:v>East</c:v>
                </c:pt>
                <c:pt idx="1">
                  <c:v>North</c:v>
                </c:pt>
                <c:pt idx="2">
                  <c:v>South</c:v>
                </c:pt>
                <c:pt idx="3">
                  <c:v>West</c:v>
                </c:pt>
              </c:strCache>
            </c:strRef>
          </c:cat>
          <c:val>
            <c:numRef>
              <c:f>pivot_table!$B$4:$B$8</c:f>
              <c:numCache>
                <c:formatCode>#,##0.00,,"L"</c:formatCode>
                <c:ptCount val="4"/>
                <c:pt idx="0">
                  <c:v>18077401.049999993</c:v>
                </c:pt>
                <c:pt idx="1">
                  <c:v>18208403.849999994</c:v>
                </c:pt>
                <c:pt idx="2">
                  <c:v>16282567.16</c:v>
                </c:pt>
                <c:pt idx="3">
                  <c:v>17761568.649999991</c:v>
                </c:pt>
              </c:numCache>
            </c:numRef>
          </c:val>
          <c:extLst>
            <c:ext xmlns:c16="http://schemas.microsoft.com/office/drawing/2014/chart" uri="{C3380CC4-5D6E-409C-BE32-E72D297353CC}">
              <c16:uniqueId val="{00000008-20A3-4FB4-8417-D6B4957530C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[sales_data_analysis.xlsx]pivot_table!PivotTable6</c:name>
    <c:fmtId val="5"/>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r>
              <a:rPr lang="en-US" sz="1100" b="1" i="0" u="none" strike="noStrike" kern="1200" spc="0" baseline="0">
                <a:solidFill>
                  <a:schemeClr val="tx1"/>
                </a:solidFill>
                <a:latin typeface="+mn-lt"/>
                <a:ea typeface="+mn-ea"/>
                <a:cs typeface="+mn-cs"/>
              </a:rPr>
              <a:t>Revenue by SalesMethod</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34A682-A47C-4788-96F1-7F62CC967B11}"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7D930A5-A1E7-41A6-93C2-C6B3C8F6A397}" type="PERCENTAGE">
                  <a:rPr lang="en-US" b="0"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EC170B-6B3B-404C-8D69-A3143F4F8B54}"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FF52C808-8CDE-41CB-A8F0-9C90C74C6D89}"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34A682-A47C-4788-96F1-7F62CC967B11}"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7D930A5-A1E7-41A6-93C2-C6B3C8F6A397}" type="PERCENTAGE">
                  <a:rPr lang="en-US" b="0"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EC170B-6B3B-404C-8D69-A3143F4F8B54}"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FF52C808-8CDE-41CB-A8F0-9C90C74C6D89}"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6350461133069825E-2"/>
              <c:y val="-4.208754208754217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34A682-A47C-4788-96F1-7F62CC967B11}" type="CATEGORYNAME">
                  <a:rPr lang="en-US"/>
                  <a:pPr>
                    <a:defRPr/>
                  </a:pPr>
                  <a:t>[CATEGORY NAME]</a:t>
                </a:fld>
                <a:r>
                  <a:rPr lang="en-US" baseline="0"/>
                  <a:t>
</a:t>
                </a:r>
                <a:fld id="{B7D930A5-A1E7-41A6-93C2-C6B3C8F6A397}" type="PERCENTAGE">
                  <a:rPr lang="en-US" b="0"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8300395256917"/>
                  <c:h val="0.20176767676767676"/>
                </c:manualLayout>
              </c15:layout>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EC170B-6B3B-404C-8D69-A3143F4F8B54}" type="CATEGORYNAME">
                  <a:rPr lang="en-US" b="1"/>
                  <a:pPr>
                    <a:defRPr/>
                  </a:pPr>
                  <a:t>[CATEGORY NAME]</a:t>
                </a:fld>
                <a:r>
                  <a:rPr lang="en-US" b="1" baseline="0"/>
                  <a:t>
</a:t>
                </a:r>
                <a:fld id="{FF52C808-8CDE-41CB-A8F0-9C90C74C6D89}"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484651375099856"/>
          <c:y val="0.32023317161112436"/>
          <c:w val="0.51222858506323077"/>
          <c:h val="0.65451430313635039"/>
        </c:manualLayout>
      </c:layout>
      <c:doughnutChart>
        <c:varyColors val="1"/>
        <c:ser>
          <c:idx val="0"/>
          <c:order val="0"/>
          <c:tx>
            <c:strRef>
              <c:f>pivot_table!$E$13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73-4E4F-AFD3-06A603419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73-4E4F-AFD3-06A6034190AC}"/>
              </c:ext>
            </c:extLst>
          </c:dPt>
          <c:dLbls>
            <c:dLbl>
              <c:idx val="0"/>
              <c:layout>
                <c:manualLayout>
                  <c:x val="-2.6350461133069825E-2"/>
                  <c:y val="-4.2087542087542174E-3"/>
                </c:manualLayout>
              </c:layout>
              <c:tx>
                <c:rich>
                  <a:bodyPr/>
                  <a:lstStyle/>
                  <a:p>
                    <a:fld id="{F234A682-A47C-4788-96F1-7F62CC967B11}" type="CATEGORYNAME">
                      <a:rPr lang="en-US"/>
                      <a:pPr/>
                      <a:t>[CATEGORY NAME]</a:t>
                    </a:fld>
                    <a:r>
                      <a:rPr lang="en-US" baseline="0"/>
                      <a:t>
</a:t>
                    </a:r>
                    <a:fld id="{B7D930A5-A1E7-41A6-93C2-C6B3C8F6A397}" type="PERCENTAGE">
                      <a:rPr lang="en-US" b="0"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158300395256917"/>
                      <c:h val="0.20176767676767676"/>
                    </c:manualLayout>
                  </c15:layout>
                  <c15:dlblFieldTable/>
                  <c15:showDataLabelsRange val="0"/>
                </c:ext>
                <c:ext xmlns:c16="http://schemas.microsoft.com/office/drawing/2014/chart" uri="{C3380CC4-5D6E-409C-BE32-E72D297353CC}">
                  <c16:uniqueId val="{00000001-A373-4E4F-AFD3-06A6034190AC}"/>
                </c:ext>
              </c:extLst>
            </c:dLbl>
            <c:dLbl>
              <c:idx val="1"/>
              <c:tx>
                <c:rich>
                  <a:bodyPr/>
                  <a:lstStyle/>
                  <a:p>
                    <a:fld id="{C3EC170B-6B3B-404C-8D69-A3143F4F8B54}" type="CATEGORYNAME">
                      <a:rPr lang="en-US" b="1"/>
                      <a:pPr/>
                      <a:t>[CATEGORY NAME]</a:t>
                    </a:fld>
                    <a:r>
                      <a:rPr lang="en-US" b="1" baseline="0"/>
                      <a:t>
</a:t>
                    </a:r>
                    <a:fld id="{FF52C808-8CDE-41CB-A8F0-9C90C74C6D89}"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73-4E4F-AFD3-06A6034190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pivot_table!$D$14:$D$16</c:f>
              <c:strCache>
                <c:ptCount val="2"/>
                <c:pt idx="0">
                  <c:v>Online</c:v>
                </c:pt>
                <c:pt idx="1">
                  <c:v>Retail</c:v>
                </c:pt>
              </c:strCache>
            </c:strRef>
          </c:cat>
          <c:val>
            <c:numRef>
              <c:f>pivot_table!$E$14:$E$16</c:f>
              <c:numCache>
                <c:formatCode>#,##0.00,,"L"</c:formatCode>
                <c:ptCount val="2"/>
                <c:pt idx="0">
                  <c:v>35739707.199999981</c:v>
                </c:pt>
                <c:pt idx="1">
                  <c:v>34590233.50999999</c:v>
                </c:pt>
              </c:numCache>
            </c:numRef>
          </c:val>
          <c:extLst>
            <c:ext xmlns:c16="http://schemas.microsoft.com/office/drawing/2014/chart" uri="{C3380CC4-5D6E-409C-BE32-E72D297353CC}">
              <c16:uniqueId val="{00000004-A373-4E4F-AFD3-06A6034190AC}"/>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[sales_data_analysis.xlsx]pivot_table!PivotTable5</c:name>
    <c:fmtId val="3"/>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Total revenue by SalesRep</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pivot_table!$B$13</c:f>
              <c:strCache>
                <c:ptCount val="1"/>
                <c:pt idx="0">
                  <c:v>Total</c:v>
                </c:pt>
              </c:strCache>
            </c:strRef>
          </c:tx>
          <c:spPr>
            <a:solidFill>
              <a:schemeClr val="accent1"/>
            </a:solidFill>
            <a:ln>
              <a:noFill/>
            </a:ln>
            <a:effectLst/>
          </c:spPr>
          <c:invertIfNegative val="0"/>
          <c:cat>
            <c:strRef>
              <c:f>pivot_table!$A$14:$A$19</c:f>
              <c:strCache>
                <c:ptCount val="5"/>
                <c:pt idx="0">
                  <c:v>Alice</c:v>
                </c:pt>
                <c:pt idx="1">
                  <c:v>Bob</c:v>
                </c:pt>
                <c:pt idx="2">
                  <c:v>Charlie</c:v>
                </c:pt>
                <c:pt idx="3">
                  <c:v>David</c:v>
                </c:pt>
                <c:pt idx="4">
                  <c:v>Eve</c:v>
                </c:pt>
              </c:strCache>
            </c:strRef>
          </c:cat>
          <c:val>
            <c:numRef>
              <c:f>pivot_table!$B$14:$B$19</c:f>
              <c:numCache>
                <c:formatCode>#,##0.00,,"L"</c:formatCode>
                <c:ptCount val="5"/>
                <c:pt idx="0">
                  <c:v>13397730.089999998</c:v>
                </c:pt>
                <c:pt idx="1">
                  <c:v>13712628.18</c:v>
                </c:pt>
                <c:pt idx="2">
                  <c:v>11552249.049999991</c:v>
                </c:pt>
                <c:pt idx="3">
                  <c:v>16395583.949999997</c:v>
                </c:pt>
                <c:pt idx="4">
                  <c:v>15271749.440000009</c:v>
                </c:pt>
              </c:numCache>
            </c:numRef>
          </c:val>
          <c:extLst>
            <c:ext xmlns:c16="http://schemas.microsoft.com/office/drawing/2014/chart" uri="{C3380CC4-5D6E-409C-BE32-E72D297353CC}">
              <c16:uniqueId val="{00000000-0452-4E31-84FB-37B838209BA6}"/>
            </c:ext>
          </c:extLst>
        </c:ser>
        <c:dLbls>
          <c:showLegendKey val="0"/>
          <c:showVal val="0"/>
          <c:showCatName val="0"/>
          <c:showSerName val="0"/>
          <c:showPercent val="0"/>
          <c:showBubbleSize val="0"/>
        </c:dLbls>
        <c:gapWidth val="87"/>
        <c:overlap val="-27"/>
        <c:axId val="1150660960"/>
        <c:axId val="1270849920"/>
      </c:barChart>
      <c:catAx>
        <c:axId val="115066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9920"/>
        <c:crosses val="autoZero"/>
        <c:auto val="1"/>
        <c:lblAlgn val="ctr"/>
        <c:lblOffset val="100"/>
        <c:noMultiLvlLbl val="0"/>
      </c:catAx>
      <c:valAx>
        <c:axId val="1270849920"/>
        <c:scaling>
          <c:orientation val="minMax"/>
        </c:scaling>
        <c:delete val="0"/>
        <c:axPos val="l"/>
        <c:majorGridlines>
          <c:spPr>
            <a:ln w="9525" cap="flat" cmpd="sng" algn="ctr">
              <a:solidFill>
                <a:schemeClr val="tx1">
                  <a:lumMod val="15000"/>
                  <a:lumOff val="85000"/>
                </a:schemeClr>
              </a:solidFill>
              <a:round/>
            </a:ln>
            <a:effectLst/>
          </c:spPr>
        </c:majorGridlines>
        <c:numFmt formatCode="#,##0.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[sales_data_analysis.xlsx]pivot_table!PivotTable3</c:name>
    <c:fmtId val="5"/>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Revenue by Month</a:t>
            </a:r>
          </a:p>
        </c:rich>
      </c:tx>
      <c:layout>
        <c:manualLayout>
          <c:xMode val="edge"/>
          <c:yMode val="edge"/>
          <c:x val="0.24578140232470941"/>
          <c:y val="2.7778278527901462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spPr>
          <a:ln w="28575" cap="rnd">
            <a:solidFill>
              <a:srgbClr val="FF0000"/>
            </a:solidFill>
            <a:round/>
          </a:ln>
          <a:effectLst/>
        </c:spPr>
        <c:marker>
          <c:symbol val="circle"/>
          <c:size val="5"/>
          <c:spPr>
            <a:solidFill>
              <a:srgbClr val="FF0000"/>
            </a:solidFill>
            <a:ln w="9525">
              <a:solidFill>
                <a:schemeClr val="accent1"/>
              </a:solidFill>
            </a:ln>
            <a:effectLst/>
          </c:spPr>
        </c:marker>
      </c:pivotFmt>
      <c:pivotFmt>
        <c:idx val="7"/>
      </c:pivotFmt>
      <c:pivotFmt>
        <c:idx val="8"/>
      </c:pivotFmt>
      <c:pivotFmt>
        <c:idx val="9"/>
      </c:pivotFmt>
      <c:pivotFmt>
        <c:idx val="10"/>
      </c:pivotFmt>
      <c:pivotFmt>
        <c:idx val="11"/>
      </c:pivotFmt>
      <c:pivotFmt>
        <c:idx val="12"/>
      </c:pivotFmt>
      <c:pivotFmt>
        <c:idx val="13"/>
      </c:pivotFmt>
    </c:pivotFmts>
    <c:plotArea>
      <c:layout/>
      <c:lineChart>
        <c:grouping val="standard"/>
        <c:varyColors val="0"/>
        <c:ser>
          <c:idx val="0"/>
          <c:order val="0"/>
          <c:tx>
            <c:strRef>
              <c:f>pivot_table!$H$3</c:f>
              <c:strCache>
                <c:ptCount val="1"/>
                <c:pt idx="0">
                  <c:v>Total</c:v>
                </c:pt>
              </c:strCache>
            </c:strRef>
          </c:tx>
          <c:spPr>
            <a:ln w="28575" cap="rnd">
              <a:solidFill>
                <a:srgbClr val="FF0000"/>
              </a:solidFill>
              <a:round/>
            </a:ln>
            <a:effectLst/>
          </c:spPr>
          <c:marker>
            <c:symbol val="circle"/>
            <c:size val="5"/>
            <c:spPr>
              <a:solidFill>
                <a:srgbClr val="FF0000"/>
              </a:solidFill>
              <a:ln w="9525">
                <a:solidFill>
                  <a:schemeClr val="accent1"/>
                </a:solidFill>
              </a:ln>
              <a:effectLst/>
            </c:spPr>
          </c:marker>
          <c:cat>
            <c:strRef>
              <c:f>pivot_table!$G$4:$G$16</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pivot_table!$H$4:$H$16</c:f>
              <c:numCache>
                <c:formatCode>#,##0.00,,"L"</c:formatCode>
                <c:ptCount val="12"/>
                <c:pt idx="0">
                  <c:v>5800626.509999997</c:v>
                </c:pt>
                <c:pt idx="1">
                  <c:v>7488100.5099999961</c:v>
                </c:pt>
                <c:pt idx="2">
                  <c:v>5627477.4499999974</c:v>
                </c:pt>
                <c:pt idx="3">
                  <c:v>6008259.4100000001</c:v>
                </c:pt>
                <c:pt idx="4">
                  <c:v>5468497.6199999992</c:v>
                </c:pt>
                <c:pt idx="5">
                  <c:v>6142561.2299999967</c:v>
                </c:pt>
                <c:pt idx="6">
                  <c:v>4751432.4199999981</c:v>
                </c:pt>
                <c:pt idx="7">
                  <c:v>6716190.6099999985</c:v>
                </c:pt>
                <c:pt idx="8">
                  <c:v>4557015.5799999991</c:v>
                </c:pt>
                <c:pt idx="9">
                  <c:v>6560606.3899999997</c:v>
                </c:pt>
                <c:pt idx="10">
                  <c:v>4958930.1899999976</c:v>
                </c:pt>
                <c:pt idx="11">
                  <c:v>6250242.7899999972</c:v>
                </c:pt>
              </c:numCache>
            </c:numRef>
          </c:val>
          <c:smooth val="0"/>
          <c:extLst>
            <c:ext xmlns:c16="http://schemas.microsoft.com/office/drawing/2014/chart" uri="{C3380CC4-5D6E-409C-BE32-E72D297353CC}">
              <c16:uniqueId val="{00000000-B4D9-4589-B9EC-62FBD966A300}"/>
            </c:ext>
          </c:extLst>
        </c:ser>
        <c:dLbls>
          <c:showLegendKey val="0"/>
          <c:showVal val="0"/>
          <c:showCatName val="0"/>
          <c:showSerName val="0"/>
          <c:showPercent val="0"/>
          <c:showBubbleSize val="0"/>
        </c:dLbls>
        <c:marker val="1"/>
        <c:smooth val="0"/>
        <c:axId val="1389383168"/>
        <c:axId val="1389384608"/>
      </c:lineChart>
      <c:catAx>
        <c:axId val="138938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84608"/>
        <c:crosses val="autoZero"/>
        <c:auto val="1"/>
        <c:lblAlgn val="ctr"/>
        <c:lblOffset val="100"/>
        <c:noMultiLvlLbl val="0"/>
      </c:catAx>
      <c:valAx>
        <c:axId val="1389384608"/>
        <c:scaling>
          <c:orientation val="minMax"/>
        </c:scaling>
        <c:delete val="0"/>
        <c:axPos val="l"/>
        <c:majorGridlines>
          <c:spPr>
            <a:ln w="9525" cap="flat" cmpd="sng" algn="ctr">
              <a:solidFill>
                <a:schemeClr val="tx1">
                  <a:lumMod val="15000"/>
                  <a:lumOff val="85000"/>
                </a:schemeClr>
              </a:solidFill>
              <a:round/>
            </a:ln>
            <a:effectLst/>
          </c:spPr>
        </c:majorGridlines>
        <c:numFmt formatCode="#,##0.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[sales_data_analysis.xlsx]pivot_table!PivotTable2</c:name>
    <c:fmtId val="14"/>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r>
              <a:rPr lang="en-IN" sz="1200" b="1" i="0" u="none" strike="noStrike" kern="1200" spc="0" baseline="0">
                <a:solidFill>
                  <a:schemeClr val="tx1"/>
                </a:solidFill>
                <a:latin typeface="+mn-lt"/>
                <a:ea typeface="+mn-ea"/>
                <a:cs typeface="+mn-cs"/>
              </a:rPr>
              <a:t>Total revenue by category</a:t>
            </a:r>
          </a:p>
        </c:rich>
      </c:tx>
      <c:layout>
        <c:manualLayout>
          <c:xMode val="edge"/>
          <c:yMode val="edge"/>
          <c:x val="0.17724717338846033"/>
          <c:y val="5.7299575164165735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6602747759978277"/>
                  <c:h val="4.2396550300503738E-2"/>
                </c:manualLayout>
              </c15:layout>
            </c:ext>
          </c:extLst>
        </c:dLbl>
      </c:pivotFmt>
      <c:pivotFmt>
        <c:idx val="3"/>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775161553081723"/>
                  <c:h val="4.9603759552744417E-2"/>
                </c:manualLayout>
              </c15:layout>
            </c:ext>
          </c:extLst>
        </c:dLbl>
      </c:pivotFmt>
      <c:pivotFmt>
        <c:idx val="4"/>
        <c:spPr>
          <a:solidFill>
            <a:schemeClr val="tx2"/>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72A95198-09CE-4A81-B032-F5BDDC18D6B3}" type="VALUE">
                  <a:rPr lang="en-US" b="1"/>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layout>
                <c:manualLayout>
                  <c:w val="0.34671713277219651"/>
                  <c:h val="4.2396550300503738E-2"/>
                </c:manualLayout>
              </c15:layout>
              <c15:dlblFieldTable/>
              <c15:showDataLabelsRange val="0"/>
            </c:ext>
          </c:extLst>
        </c:dLbl>
      </c:pivotFmt>
      <c:pivotFmt>
        <c:idx val="5"/>
        <c:spPr>
          <a:solidFill>
            <a:schemeClr val="tx2"/>
          </a:solidFill>
          <a:ln w="9525" cap="flat" cmpd="sng" algn="ctr">
            <a:solidFill>
              <a:schemeClr val="lt1">
                <a:alpha val="50000"/>
              </a:schemeClr>
            </a:solidFill>
            <a:round/>
          </a:ln>
          <a:effectLst/>
        </c:spPr>
        <c:dLbl>
          <c:idx val="0"/>
          <c:layout>
            <c:manualLayout>
              <c:x val="-0.21437719250610915"/>
              <c:y val="1.4187419774662311E-7"/>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B7231F78-F189-4CFB-AF80-9AC84F83C029}" type="VALUE">
                  <a:rPr lang="en-US" b="1">
                    <a:solidFill>
                      <a:schemeClr val="bg1"/>
                    </a:solidFill>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4040467010589193"/>
                  <c:h val="3.5189341048263045E-2"/>
                </c:manualLayout>
              </c15:layout>
              <c15:dlblFieldTable/>
              <c15:showDataLabelsRange val="0"/>
            </c:ext>
          </c:extLst>
        </c:dLbl>
      </c:pivotFmt>
      <c:pivotFmt>
        <c:idx val="6"/>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w="9525" cap="flat" cmpd="sng" algn="ctr">
            <a:solidFill>
              <a:schemeClr val="lt1">
                <a:alpha val="50000"/>
              </a:schemeClr>
            </a:solidFill>
            <a:round/>
          </a:ln>
          <a:effectLst/>
        </c:spPr>
        <c:dLbl>
          <c:idx val="0"/>
          <c:layout>
            <c:manualLayout>
              <c:x val="-0.21437719250610915"/>
              <c:y val="1.4187419774662311E-7"/>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B7231F78-F189-4CFB-AF80-9AC84F83C029}" type="VALUE">
                  <a:rPr lang="en-US" b="1">
                    <a:solidFill>
                      <a:schemeClr val="bg1"/>
                    </a:solidFill>
                  </a:rPr>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4040467010589193"/>
                  <c:h val="3.5189341048263045E-2"/>
                </c:manualLayout>
              </c15:layout>
              <c15:dlblFieldTable/>
              <c15:showDataLabelsRange val="0"/>
            </c:ext>
          </c:extLst>
        </c:dLbl>
      </c:pivotFmt>
      <c:pivotFmt>
        <c:idx val="8"/>
        <c:spPr>
          <a:solidFill>
            <a:schemeClr val="tx2"/>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72A95198-09CE-4A81-B032-F5BDDC18D6B3}" type="VALUE">
                  <a:rPr lang="en-US" b="1"/>
                  <a:pPr>
                    <a:defRPr sz="8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layout>
                <c:manualLayout>
                  <c:w val="0.34671713277219651"/>
                  <c:h val="4.2396550300503738E-2"/>
                </c:manualLayout>
              </c15:layout>
              <c15:dlblFieldTable/>
              <c15:showDataLabelsRange val="0"/>
            </c:ext>
          </c:extLst>
        </c:dLbl>
      </c:pivotFmt>
      <c:pivotFmt>
        <c:idx val="9"/>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775161553081723"/>
                  <c:h val="4.9603759552744417E-2"/>
                </c:manualLayout>
              </c15:layout>
            </c:ext>
          </c:extLst>
        </c:dLbl>
      </c:pivotFmt>
      <c:pivotFmt>
        <c:idx val="10"/>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6602747759978277"/>
                  <c:h val="4.2396550300503738E-2"/>
                </c:manualLayout>
              </c15:layout>
            </c:ext>
          </c:extLst>
        </c:dLbl>
      </c:pivotFmt>
      <c:pivotFmt>
        <c:idx val="11"/>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solidFill>
          <a:ln w="9525" cap="flat" cmpd="sng" algn="ctr">
            <a:solidFill>
              <a:schemeClr val="lt1">
                <a:alpha val="50000"/>
              </a:schemeClr>
            </a:solidFill>
            <a:round/>
          </a:ln>
          <a:effectLst/>
        </c:spPr>
        <c:dLbl>
          <c:idx val="0"/>
          <c:layout>
            <c:manualLayout>
              <c:x val="-0.21437719250610915"/>
              <c:y val="1.4187419774662311E-7"/>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B7231F78-F189-4CFB-AF80-9AC84F83C029}"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040467010589193"/>
                  <c:h val="3.5189341048263045E-2"/>
                </c:manualLayout>
              </c15:layout>
              <c15:dlblFieldTable/>
              <c15:showDataLabelsRange val="0"/>
            </c:ext>
          </c:extLst>
        </c:dLbl>
      </c:pivotFmt>
      <c:pivotFmt>
        <c:idx val="13"/>
        <c:spPr>
          <a:solidFill>
            <a:schemeClr val="tx2"/>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72A95198-09CE-4A81-B032-F5BDDC18D6B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671713277219651"/>
                  <c:h val="4.2396550300503738E-2"/>
                </c:manualLayout>
              </c15:layout>
              <c15:dlblFieldTable/>
              <c15:showDataLabelsRange val="0"/>
            </c:ext>
          </c:extLst>
        </c:dLbl>
      </c:pivotFmt>
      <c:pivotFmt>
        <c:idx val="14"/>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775161553081723"/>
                  <c:h val="4.9603759552744417E-2"/>
                </c:manualLayout>
              </c15:layout>
            </c:ext>
          </c:extLst>
        </c:dLbl>
      </c:pivotFmt>
      <c:pivotFmt>
        <c:idx val="15"/>
        <c:spPr>
          <a:solidFill>
            <a:schemeClr val="tx2"/>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6602747759978277"/>
                  <c:h val="4.2396550300503738E-2"/>
                </c:manualLayout>
              </c15:layout>
            </c:ext>
          </c:extLst>
        </c:dLbl>
      </c:pivotFmt>
    </c:pivotFmts>
    <c:plotArea>
      <c:layout>
        <c:manualLayout>
          <c:layoutTarget val="inner"/>
          <c:xMode val="edge"/>
          <c:yMode val="edge"/>
          <c:x val="0.32464555176605242"/>
          <c:y val="0.21641350447133847"/>
          <c:w val="0.65912954595185169"/>
          <c:h val="0.50963027426255569"/>
        </c:manualLayout>
      </c:layout>
      <c:barChart>
        <c:barDir val="bar"/>
        <c:grouping val="clustered"/>
        <c:varyColors val="0"/>
        <c:ser>
          <c:idx val="0"/>
          <c:order val="0"/>
          <c:tx>
            <c:strRef>
              <c:f>pivot_table!$E$3</c:f>
              <c:strCache>
                <c:ptCount val="1"/>
                <c:pt idx="0">
                  <c:v>Total</c:v>
                </c:pt>
              </c:strCache>
            </c:strRef>
          </c:tx>
          <c:spPr>
            <a:solidFill>
              <a:schemeClr val="tx2"/>
            </a:solidFill>
            <a:ln w="9525" cap="flat" cmpd="sng" algn="ctr">
              <a:solidFill>
                <a:schemeClr val="lt1">
                  <a:alpha val="50000"/>
                </a:schemeClr>
              </a:solidFill>
              <a:round/>
            </a:ln>
            <a:effectLst/>
          </c:spPr>
          <c:invertIfNegative val="0"/>
          <c:dLbls>
            <c:dLbl>
              <c:idx val="0"/>
              <c:layout>
                <c:manualLayout>
                  <c:x val="-0.21437719250610915"/>
                  <c:y val="1.4187419774662311E-7"/>
                </c:manualLayout>
              </c:layout>
              <c:tx>
                <c:rich>
                  <a:bodyPr/>
                  <a:lstStyle/>
                  <a:p>
                    <a:fld id="{B7231F78-F189-4CFB-AF80-9AC84F83C029}"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4040467010589193"/>
                      <c:h val="3.5189341048263045E-2"/>
                    </c:manualLayout>
                  </c15:layout>
                  <c15:dlblFieldTable/>
                  <c15:showDataLabelsRange val="0"/>
                </c:ext>
                <c:ext xmlns:c16="http://schemas.microsoft.com/office/drawing/2014/chart" uri="{C3380CC4-5D6E-409C-BE32-E72D297353CC}">
                  <c16:uniqueId val="{00000000-C88B-4DC6-BA1A-BCDE778BBE20}"/>
                </c:ext>
              </c:extLst>
            </c:dLbl>
            <c:dLbl>
              <c:idx val="1"/>
              <c:tx>
                <c:rich>
                  <a:bodyPr/>
                  <a:lstStyle/>
                  <a:p>
                    <a:fld id="{72A95198-09CE-4A81-B032-F5BDDC18D6B3}"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0.34671713277219651"/>
                      <c:h val="4.2396550300503738E-2"/>
                    </c:manualLayout>
                  </c15:layout>
                  <c15:dlblFieldTable/>
                  <c15:showDataLabelsRange val="0"/>
                </c:ext>
                <c:ext xmlns:c16="http://schemas.microsoft.com/office/drawing/2014/chart" uri="{C3380CC4-5D6E-409C-BE32-E72D297353CC}">
                  <c16:uniqueId val="{00000001-C88B-4DC6-BA1A-BCDE778BBE20}"/>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7775161553081723"/>
                      <c:h val="4.9603759552744417E-2"/>
                    </c:manualLayout>
                  </c15:layout>
                </c:ext>
                <c:ext xmlns:c16="http://schemas.microsoft.com/office/drawing/2014/chart" uri="{C3380CC4-5D6E-409C-BE32-E72D297353CC}">
                  <c16:uniqueId val="{00000002-C88B-4DC6-BA1A-BCDE778BBE20}"/>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6602747759978277"/>
                      <c:h val="4.2396550300503738E-2"/>
                    </c:manualLayout>
                  </c15:layout>
                </c:ext>
                <c:ext xmlns:c16="http://schemas.microsoft.com/office/drawing/2014/chart" uri="{C3380CC4-5D6E-409C-BE32-E72D297353CC}">
                  <c16:uniqueId val="{00000003-C88B-4DC6-BA1A-BCDE778BBE2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pivot_table!$D$4:$D$8</c:f>
              <c:strCache>
                <c:ptCount val="4"/>
                <c:pt idx="0">
                  <c:v>Clothing</c:v>
                </c:pt>
                <c:pt idx="1">
                  <c:v>Electronics</c:v>
                </c:pt>
                <c:pt idx="2">
                  <c:v>Food</c:v>
                </c:pt>
                <c:pt idx="3">
                  <c:v>Furniture</c:v>
                </c:pt>
              </c:strCache>
            </c:strRef>
          </c:cat>
          <c:val>
            <c:numRef>
              <c:f>pivot_table!$E$4:$E$8</c:f>
              <c:numCache>
                <c:formatCode>#,##0.00,,"L"</c:formatCode>
                <c:ptCount val="4"/>
                <c:pt idx="0">
                  <c:v>19286733.930000007</c:v>
                </c:pt>
                <c:pt idx="1">
                  <c:v>17571040.569999997</c:v>
                </c:pt>
                <c:pt idx="2">
                  <c:v>15141885.650000008</c:v>
                </c:pt>
                <c:pt idx="3">
                  <c:v>18330280.559999995</c:v>
                </c:pt>
              </c:numCache>
            </c:numRef>
          </c:val>
          <c:extLst>
            <c:ext xmlns:c16="http://schemas.microsoft.com/office/drawing/2014/chart" uri="{C3380CC4-5D6E-409C-BE32-E72D297353CC}">
              <c16:uniqueId val="{00000004-C88B-4DC6-BA1A-BCDE778BBE20}"/>
            </c:ext>
          </c:extLst>
        </c:ser>
        <c:dLbls>
          <c:dLblPos val="inEnd"/>
          <c:showLegendKey val="0"/>
          <c:showVal val="1"/>
          <c:showCatName val="0"/>
          <c:showSerName val="0"/>
          <c:showPercent val="0"/>
          <c:showBubbleSize val="0"/>
        </c:dLbls>
        <c:gapWidth val="65"/>
        <c:axId val="1379916688"/>
        <c:axId val="1379917648"/>
      </c:barChart>
      <c:catAx>
        <c:axId val="1379916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mn-lt"/>
                <a:ea typeface="+mn-ea"/>
                <a:cs typeface="+mn-cs"/>
              </a:defRPr>
            </a:pPr>
            <a:endParaRPr lang="en-US"/>
          </a:p>
        </c:txPr>
        <c:crossAx val="1379917648"/>
        <c:crosses val="autoZero"/>
        <c:auto val="1"/>
        <c:lblAlgn val="ctr"/>
        <c:lblOffset val="100"/>
        <c:noMultiLvlLbl val="0"/>
      </c:catAx>
      <c:valAx>
        <c:axId val="1379917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L&quot;" sourceLinked="1"/>
        <c:majorTickMark val="none"/>
        <c:minorTickMark val="none"/>
        <c:tickLblPos val="nextTo"/>
        <c:spPr>
          <a:noFill/>
          <a:ln>
            <a:noFill/>
          </a:ln>
          <a:effectLst/>
        </c:spPr>
        <c:txPr>
          <a:bodyPr rot="-2580000" spcFirstLastPara="1" vertOverflow="ellipsis"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crossAx val="13799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[sales_data_analysis.xlsx]pivot_table!PivotTable7</c:name>
    <c:fmtId val="4"/>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Revenue by Customer type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232333862657327"/>
              <c:y val="-3.2596316903964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1232333862657327"/>
              <c:y val="-3.2596316903964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21232333862657327"/>
              <c:y val="-3.2596316903964744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22524966064190996"/>
              <c:y val="2.0682689532918252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934661343680689E-2"/>
          <c:y val="0.38083508540490041"/>
          <c:w val="0.84741021261373373"/>
          <c:h val="0.58894064943452762"/>
        </c:manualLayout>
      </c:layout>
      <c:pie3DChart>
        <c:varyColors val="1"/>
        <c:ser>
          <c:idx val="0"/>
          <c:order val="0"/>
          <c:tx>
            <c:strRef>
              <c:f>pivot_table!$K$3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2E1-414C-810B-59B080B41F4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2E1-414C-810B-59B080B41F4C}"/>
              </c:ext>
            </c:extLst>
          </c:dPt>
          <c:dLbls>
            <c:dLbl>
              <c:idx val="0"/>
              <c:layout>
                <c:manualLayout>
                  <c:x val="-0.21232333862657327"/>
                  <c:y val="-3.25963169039647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E1-414C-810B-59B080B41F4C}"/>
                </c:ext>
              </c:extLst>
            </c:dLbl>
            <c:dLbl>
              <c:idx val="1"/>
              <c:layout>
                <c:manualLayout>
                  <c:x val="0.22524966064190996"/>
                  <c:y val="2.06826895329182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E1-414C-810B-59B080B41F4C}"/>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pivot_table!$J$4:$J$6</c:f>
              <c:strCache>
                <c:ptCount val="2"/>
                <c:pt idx="0">
                  <c:v>New</c:v>
                </c:pt>
                <c:pt idx="1">
                  <c:v>Returning</c:v>
                </c:pt>
              </c:strCache>
            </c:strRef>
          </c:cat>
          <c:val>
            <c:numRef>
              <c:f>pivot_table!$K$4:$K$6</c:f>
              <c:numCache>
                <c:formatCode>#,##0.00,,"L"</c:formatCode>
                <c:ptCount val="2"/>
                <c:pt idx="0">
                  <c:v>36529262.009999998</c:v>
                </c:pt>
                <c:pt idx="1">
                  <c:v>33800678.700000018</c:v>
                </c:pt>
              </c:numCache>
            </c:numRef>
          </c:val>
          <c:extLst>
            <c:ext xmlns:c16="http://schemas.microsoft.com/office/drawing/2014/chart" uri="{C3380CC4-5D6E-409C-BE32-E72D297353CC}">
              <c16:uniqueId val="{00000004-82E1-414C-810B-59B080B41F4C}"/>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[sales_data_analysis.xlsx]pivot_table!PivotTable9</c:name>
    <c:fmtId val="3"/>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Revenue by Payment Method</a:t>
            </a:r>
          </a:p>
        </c:rich>
      </c:tx>
      <c:layout>
        <c:manualLayout>
          <c:xMode val="edge"/>
          <c:yMode val="edge"/>
          <c:x val="0.15650015798596287"/>
          <c:y val="4.5112781954887216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pivot_table!$E$19</c:f>
              <c:strCache>
                <c:ptCount val="1"/>
                <c:pt idx="0">
                  <c:v>Total</c:v>
                </c:pt>
              </c:strCache>
            </c:strRef>
          </c:tx>
          <c:spPr>
            <a:solidFill>
              <a:schemeClr val="accent1"/>
            </a:solidFill>
            <a:ln>
              <a:noFill/>
            </a:ln>
            <a:effectLst/>
          </c:spPr>
          <c:invertIfNegative val="0"/>
          <c:cat>
            <c:strRef>
              <c:f>pivot_table!$D$20:$D$23</c:f>
              <c:strCache>
                <c:ptCount val="3"/>
                <c:pt idx="0">
                  <c:v>Bank Transfer</c:v>
                </c:pt>
                <c:pt idx="1">
                  <c:v>Cash</c:v>
                </c:pt>
                <c:pt idx="2">
                  <c:v>Credit Card</c:v>
                </c:pt>
              </c:strCache>
            </c:strRef>
          </c:cat>
          <c:val>
            <c:numRef>
              <c:f>pivot_table!$E$20:$E$23</c:f>
              <c:numCache>
                <c:formatCode>#,##0.00,,"L"</c:formatCode>
                <c:ptCount val="3"/>
                <c:pt idx="0">
                  <c:v>24594074.5</c:v>
                </c:pt>
                <c:pt idx="1">
                  <c:v>22190511.489999995</c:v>
                </c:pt>
                <c:pt idx="2">
                  <c:v>23545354.72000001</c:v>
                </c:pt>
              </c:numCache>
            </c:numRef>
          </c:val>
          <c:extLst>
            <c:ext xmlns:c16="http://schemas.microsoft.com/office/drawing/2014/chart" uri="{C3380CC4-5D6E-409C-BE32-E72D297353CC}">
              <c16:uniqueId val="{00000000-1C97-4E5E-99DD-72462801EAD7}"/>
            </c:ext>
          </c:extLst>
        </c:ser>
        <c:dLbls>
          <c:showLegendKey val="0"/>
          <c:showVal val="0"/>
          <c:showCatName val="0"/>
          <c:showSerName val="0"/>
          <c:showPercent val="0"/>
          <c:showBubbleSize val="0"/>
        </c:dLbls>
        <c:gapWidth val="91"/>
        <c:overlap val="-27"/>
        <c:axId val="1152585680"/>
        <c:axId val="1152584720"/>
      </c:barChart>
      <c:catAx>
        <c:axId val="11525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52584720"/>
        <c:crosses val="autoZero"/>
        <c:auto val="1"/>
        <c:lblAlgn val="ctr"/>
        <c:lblOffset val="100"/>
        <c:noMultiLvlLbl val="0"/>
      </c:catAx>
      <c:valAx>
        <c:axId val="1152584720"/>
        <c:scaling>
          <c:orientation val="minMax"/>
        </c:scaling>
        <c:delete val="0"/>
        <c:axPos val="l"/>
        <c:majorGridlines>
          <c:spPr>
            <a:ln w="9525" cap="flat" cmpd="sng" algn="ctr">
              <a:solidFill>
                <a:schemeClr val="tx1">
                  <a:lumMod val="15000"/>
                  <a:lumOff val="85000"/>
                </a:schemeClr>
              </a:solidFill>
              <a:round/>
            </a:ln>
            <a:effectLst/>
          </c:spPr>
        </c:majorGridlines>
        <c:numFmt formatCode="#,##0.00,,&quot;L&quot;"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5258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[sales_data_analysis.xlsx]pivot_table!PivotTable8</c:name>
    <c:fmtId val="5"/>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Profit for each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pivot_table!$K$10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pivot_table!$J$11:$J$15</c:f>
              <c:strCache>
                <c:ptCount val="4"/>
                <c:pt idx="0">
                  <c:v>Clothing</c:v>
                </c:pt>
                <c:pt idx="1">
                  <c:v>Electronics</c:v>
                </c:pt>
                <c:pt idx="2">
                  <c:v>Food</c:v>
                </c:pt>
                <c:pt idx="3">
                  <c:v>Furniture</c:v>
                </c:pt>
              </c:strCache>
            </c:strRef>
          </c:cat>
          <c:val>
            <c:numRef>
              <c:f>pivot_table!$K$11:$K$15</c:f>
              <c:numCache>
                <c:formatCode>#,##0.00,,"L"</c:formatCode>
                <c:ptCount val="4"/>
                <c:pt idx="0">
                  <c:v>1712957.7999999933</c:v>
                </c:pt>
                <c:pt idx="1">
                  <c:v>1574320.0599999938</c:v>
                </c:pt>
                <c:pt idx="2">
                  <c:v>1421108.0499999949</c:v>
                </c:pt>
                <c:pt idx="3">
                  <c:v>1779461.1599999936</c:v>
                </c:pt>
              </c:numCache>
            </c:numRef>
          </c:val>
          <c:extLst>
            <c:ext xmlns:c16="http://schemas.microsoft.com/office/drawing/2014/chart" uri="{C3380CC4-5D6E-409C-BE32-E72D297353CC}">
              <c16:uniqueId val="{00000000-F2FE-4C12-8510-C89EE1605616}"/>
            </c:ext>
          </c:extLst>
        </c:ser>
        <c:dLbls>
          <c:dLblPos val="outEnd"/>
          <c:showLegendKey val="0"/>
          <c:showVal val="1"/>
          <c:showCatName val="0"/>
          <c:showSerName val="0"/>
          <c:showPercent val="0"/>
          <c:showBubbleSize val="0"/>
        </c:dLbls>
        <c:gapWidth val="46"/>
        <c:axId val="188912720"/>
        <c:axId val="188913200"/>
      </c:barChart>
      <c:catAx>
        <c:axId val="18891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8913200"/>
        <c:crosses val="autoZero"/>
        <c:auto val="1"/>
        <c:lblAlgn val="ctr"/>
        <c:lblOffset val="100"/>
        <c:noMultiLvlLbl val="0"/>
      </c:catAx>
      <c:valAx>
        <c:axId val="188913200"/>
        <c:scaling>
          <c:orientation val="minMax"/>
        </c:scaling>
        <c:delete val="0"/>
        <c:axPos val="b"/>
        <c:majorGridlines>
          <c:spPr>
            <a:ln w="9525" cap="flat" cmpd="sng" algn="ctr">
              <a:solidFill>
                <a:schemeClr val="tx1">
                  <a:lumMod val="15000"/>
                  <a:lumOff val="85000"/>
                </a:schemeClr>
              </a:solidFill>
              <a:round/>
            </a:ln>
            <a:effectLst/>
          </c:spPr>
        </c:majorGridlines>
        <c:numFmt formatCode="#,##0.00,,&quot;L&quot;"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89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53340</xdr:rowOff>
    </xdr:from>
    <xdr:to>
      <xdr:col>8</xdr:col>
      <xdr:colOff>8021</xdr:colOff>
      <xdr:row>4</xdr:row>
      <xdr:rowOff>160020</xdr:rowOff>
    </xdr:to>
    <xdr:sp macro="" textlink="">
      <xdr:nvSpPr>
        <xdr:cNvPr id="2" name="Rectangle: Rounded Corners 1">
          <a:extLst>
            <a:ext uri="{FF2B5EF4-FFF2-40B4-BE49-F238E27FC236}">
              <a16:creationId xmlns:a16="http://schemas.microsoft.com/office/drawing/2014/main" id="{0F22B0BB-FB15-03D5-B916-2F8F00575894}"/>
            </a:ext>
          </a:extLst>
        </xdr:cNvPr>
        <xdr:cNvSpPr/>
      </xdr:nvSpPr>
      <xdr:spPr>
        <a:xfrm>
          <a:off x="38100" y="53340"/>
          <a:ext cx="4846721" cy="844617"/>
        </a:xfrm>
        <a:prstGeom prst="roundRect">
          <a:avLst/>
        </a:prstGeom>
        <a:solidFill>
          <a:schemeClr val="accent5">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124732</xdr:colOff>
      <xdr:row>0</xdr:row>
      <xdr:rowOff>129355</xdr:rowOff>
    </xdr:from>
    <xdr:ext cx="4323627" cy="655885"/>
    <xdr:sp macro="" textlink="">
      <xdr:nvSpPr>
        <xdr:cNvPr id="3" name="Rectangle 2">
          <a:extLst>
            <a:ext uri="{FF2B5EF4-FFF2-40B4-BE49-F238E27FC236}">
              <a16:creationId xmlns:a16="http://schemas.microsoft.com/office/drawing/2014/main" id="{6251AABA-ACD3-4519-3C4C-114880736756}"/>
            </a:ext>
          </a:extLst>
        </xdr:cNvPr>
        <xdr:cNvSpPr/>
      </xdr:nvSpPr>
      <xdr:spPr>
        <a:xfrm>
          <a:off x="734332" y="129355"/>
          <a:ext cx="4323627" cy="655885"/>
        </a:xfrm>
        <a:prstGeom prst="rect">
          <a:avLst/>
        </a:prstGeom>
        <a:noFill/>
      </xdr:spPr>
      <xdr:txBody>
        <a:bodyPr wrap="square" lIns="91440" tIns="45720" rIns="91440" bIns="45720">
          <a:spAutoFit/>
        </a:bodyPr>
        <a:lstStyle/>
        <a:p>
          <a:pPr algn="ctr"/>
          <a:r>
            <a:rPr lang="en-US" sz="3600" b="1"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editAs="oneCell">
    <xdr:from>
      <xdr:col>0</xdr:col>
      <xdr:colOff>104675</xdr:colOff>
      <xdr:row>0</xdr:row>
      <xdr:rowOff>76200</xdr:rowOff>
    </xdr:from>
    <xdr:to>
      <xdr:col>1</xdr:col>
      <xdr:colOff>376990</xdr:colOff>
      <xdr:row>4</xdr:row>
      <xdr:rowOff>129540</xdr:rowOff>
    </xdr:to>
    <xdr:pic>
      <xdr:nvPicPr>
        <xdr:cNvPr id="6" name="Picture 5" descr="2,800+ Rising Line Graph Stock Photos ...">
          <a:extLst>
            <a:ext uri="{FF2B5EF4-FFF2-40B4-BE49-F238E27FC236}">
              <a16:creationId xmlns:a16="http://schemas.microsoft.com/office/drawing/2014/main" id="{62F5D9AF-474E-E38F-6670-297FE8652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675" y="76200"/>
          <a:ext cx="881915" cy="791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44124</xdr:colOff>
      <xdr:row>0</xdr:row>
      <xdr:rowOff>60960</xdr:rowOff>
    </xdr:from>
    <xdr:to>
      <xdr:col>10</xdr:col>
      <xdr:colOff>296783</xdr:colOff>
      <xdr:row>4</xdr:row>
      <xdr:rowOff>152400</xdr:rowOff>
    </xdr:to>
    <xdr:sp macro="" textlink="">
      <xdr:nvSpPr>
        <xdr:cNvPr id="7" name="Rectangle: Rounded Corners 6">
          <a:extLst>
            <a:ext uri="{FF2B5EF4-FFF2-40B4-BE49-F238E27FC236}">
              <a16:creationId xmlns:a16="http://schemas.microsoft.com/office/drawing/2014/main" id="{24C84CF0-0CCF-B0C0-C13C-A563D48FEF2B}"/>
            </a:ext>
          </a:extLst>
        </xdr:cNvPr>
        <xdr:cNvSpPr/>
      </xdr:nvSpPr>
      <xdr:spPr>
        <a:xfrm>
          <a:off x="4920924" y="60960"/>
          <a:ext cx="1471859" cy="829377"/>
        </a:xfrm>
        <a:prstGeom prst="roundRect">
          <a:avLst>
            <a:gd name="adj" fmla="val 989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479542</xdr:colOff>
      <xdr:row>0</xdr:row>
      <xdr:rowOff>76015</xdr:rowOff>
    </xdr:from>
    <xdr:ext cx="1847776" cy="342786"/>
    <xdr:sp macro="" textlink="">
      <xdr:nvSpPr>
        <xdr:cNvPr id="8" name="Rectangle 7">
          <a:extLst>
            <a:ext uri="{FF2B5EF4-FFF2-40B4-BE49-F238E27FC236}">
              <a16:creationId xmlns:a16="http://schemas.microsoft.com/office/drawing/2014/main" id="{B9044CAC-9FEF-962C-6F6F-C14C8DC5F51A}"/>
            </a:ext>
          </a:extLst>
        </xdr:cNvPr>
        <xdr:cNvSpPr/>
      </xdr:nvSpPr>
      <xdr:spPr>
        <a:xfrm>
          <a:off x="4746742" y="76015"/>
          <a:ext cx="1847776" cy="342786"/>
        </a:xfrm>
        <a:prstGeom prst="rect">
          <a:avLst/>
        </a:prstGeom>
        <a:noFill/>
      </xdr:spPr>
      <xdr:txBody>
        <a:bodyPr wrap="squar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a:t>
          </a:r>
          <a:r>
            <a:rPr lang="en-US" sz="1600" b="1" cap="none" spc="0" baseline="0">
              <a:ln w="0"/>
              <a:solidFill>
                <a:schemeClr val="tx1"/>
              </a:solidFill>
              <a:effectLst>
                <a:outerShdw blurRad="38100" dist="19050" dir="2700000" algn="tl" rotWithShape="0">
                  <a:schemeClr val="dk1">
                    <a:alpha val="40000"/>
                  </a:schemeClr>
                </a:outerShdw>
              </a:effectLst>
            </a:rPr>
            <a:t> REVENUE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22860</xdr:colOff>
      <xdr:row>1</xdr:row>
      <xdr:rowOff>144780</xdr:rowOff>
    </xdr:from>
    <xdr:ext cx="1847776" cy="468013"/>
    <xdr:sp macro="" textlink="">
      <xdr:nvSpPr>
        <xdr:cNvPr id="9" name="Rectangle 8">
          <a:extLst>
            <a:ext uri="{FF2B5EF4-FFF2-40B4-BE49-F238E27FC236}">
              <a16:creationId xmlns:a16="http://schemas.microsoft.com/office/drawing/2014/main" id="{7C427FE8-3D63-4636-88EA-9F15A16E39B3}"/>
            </a:ext>
          </a:extLst>
        </xdr:cNvPr>
        <xdr:cNvSpPr/>
      </xdr:nvSpPr>
      <xdr:spPr>
        <a:xfrm>
          <a:off x="6118860" y="327660"/>
          <a:ext cx="1847776" cy="468013"/>
        </a:xfrm>
        <a:prstGeom prst="rect">
          <a:avLst/>
        </a:prstGeom>
        <a:noFill/>
      </xdr:spPr>
      <xdr:txBody>
        <a:bodyPr wrap="square" lIns="91440" tIns="45720" rIns="91440" bIns="45720">
          <a:spAutoFit/>
        </a:bodyPr>
        <a:lstStyle/>
        <a:p>
          <a:pPr algn="ct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590625</xdr:colOff>
      <xdr:row>2</xdr:row>
      <xdr:rowOff>53155</xdr:rowOff>
    </xdr:from>
    <xdr:ext cx="1847776" cy="468013"/>
    <xdr:sp macro="" textlink="">
      <xdr:nvSpPr>
        <xdr:cNvPr id="10" name="Rectangle 9">
          <a:extLst>
            <a:ext uri="{FF2B5EF4-FFF2-40B4-BE49-F238E27FC236}">
              <a16:creationId xmlns:a16="http://schemas.microsoft.com/office/drawing/2014/main" id="{1E83C2DC-6361-452E-8F6C-AFF976C3BD10}"/>
            </a:ext>
          </a:extLst>
        </xdr:cNvPr>
        <xdr:cNvSpPr/>
      </xdr:nvSpPr>
      <xdr:spPr>
        <a:xfrm>
          <a:off x="6077025" y="418915"/>
          <a:ext cx="1847776" cy="468013"/>
        </a:xfrm>
        <a:prstGeom prst="rect">
          <a:avLst/>
        </a:prstGeom>
        <a:noFill/>
      </xdr:spPr>
      <xdr:txBody>
        <a:bodyPr wrap="square" lIns="91440" tIns="45720" rIns="91440" bIns="45720">
          <a:spAutoFit/>
        </a:bodyPr>
        <a:lstStyle/>
        <a:p>
          <a:pPr algn="ct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258687</xdr:colOff>
      <xdr:row>2</xdr:row>
      <xdr:rowOff>45535</xdr:rowOff>
    </xdr:from>
    <xdr:ext cx="1089660" cy="259265"/>
    <xdr:sp macro="" textlink="pivot_table!$P$3">
      <xdr:nvSpPr>
        <xdr:cNvPr id="11" name="Rectangle 10">
          <a:extLst>
            <a:ext uri="{FF2B5EF4-FFF2-40B4-BE49-F238E27FC236}">
              <a16:creationId xmlns:a16="http://schemas.microsoft.com/office/drawing/2014/main" id="{8662EE3A-6709-4681-8907-7D8167A2D553}"/>
            </a:ext>
          </a:extLst>
        </xdr:cNvPr>
        <xdr:cNvSpPr/>
      </xdr:nvSpPr>
      <xdr:spPr>
        <a:xfrm>
          <a:off x="5135487" y="414503"/>
          <a:ext cx="1089660" cy="259265"/>
        </a:xfrm>
        <a:prstGeom prst="rect">
          <a:avLst/>
        </a:prstGeom>
        <a:noFill/>
      </xdr:spPr>
      <xdr:txBody>
        <a:bodyPr wrap="square" lIns="91440" tIns="45720" rIns="91440" bIns="45720">
          <a:noAutofit/>
        </a:bodyPr>
        <a:lstStyle/>
        <a:p>
          <a:pPr algn="ctr"/>
          <a:fld id="{1B37BCEC-931A-4BA1-812C-F8CCFC9297F3}"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Arial" panose="020B0604020202020204" pitchFamily="34" charset="0"/>
              <a:ea typeface="Calibri"/>
              <a:cs typeface="Arial" panose="020B0604020202020204" pitchFamily="34" charset="0"/>
            </a:rPr>
            <a:t>70,329.94L</a:t>
          </a:fld>
          <a:endParaRPr lang="en-US" sz="3200" b="1" cap="none" spc="0">
            <a:ln w="0"/>
            <a:solidFill>
              <a:srgbClr val="FF0000"/>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oneCellAnchor>
  <xdr:twoCellAnchor>
    <xdr:from>
      <xdr:col>10</xdr:col>
      <xdr:colOff>335289</xdr:colOff>
      <xdr:row>0</xdr:row>
      <xdr:rowOff>60960</xdr:rowOff>
    </xdr:from>
    <xdr:to>
      <xdr:col>12</xdr:col>
      <xdr:colOff>481263</xdr:colOff>
      <xdr:row>4</xdr:row>
      <xdr:rowOff>152400</xdr:rowOff>
    </xdr:to>
    <xdr:sp macro="" textlink="">
      <xdr:nvSpPr>
        <xdr:cNvPr id="12" name="Rectangle: Rounded Corners 11">
          <a:extLst>
            <a:ext uri="{FF2B5EF4-FFF2-40B4-BE49-F238E27FC236}">
              <a16:creationId xmlns:a16="http://schemas.microsoft.com/office/drawing/2014/main" id="{AD267222-3656-4E0D-AB2D-E1AF7A8C864E}"/>
            </a:ext>
          </a:extLst>
        </xdr:cNvPr>
        <xdr:cNvSpPr/>
      </xdr:nvSpPr>
      <xdr:spPr>
        <a:xfrm>
          <a:off x="6431289" y="60960"/>
          <a:ext cx="1365174" cy="829377"/>
        </a:xfrm>
        <a:prstGeom prst="roundRect">
          <a:avLst>
            <a:gd name="adj" fmla="val 989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82100</xdr:colOff>
      <xdr:row>0</xdr:row>
      <xdr:rowOff>76015</xdr:rowOff>
    </xdr:from>
    <xdr:ext cx="1847776" cy="342786"/>
    <xdr:sp macro="" textlink="">
      <xdr:nvSpPr>
        <xdr:cNvPr id="13" name="Rectangle 12">
          <a:extLst>
            <a:ext uri="{FF2B5EF4-FFF2-40B4-BE49-F238E27FC236}">
              <a16:creationId xmlns:a16="http://schemas.microsoft.com/office/drawing/2014/main" id="{0477A72A-45B2-48EA-9EB9-9FFD732A16C6}"/>
            </a:ext>
          </a:extLst>
        </xdr:cNvPr>
        <xdr:cNvSpPr/>
      </xdr:nvSpPr>
      <xdr:spPr>
        <a:xfrm>
          <a:off x="6178100" y="76015"/>
          <a:ext cx="1847776" cy="342786"/>
        </a:xfrm>
        <a:prstGeom prst="rect">
          <a:avLst/>
        </a:prstGeom>
        <a:noFill/>
        <a:ln>
          <a:noFill/>
        </a:ln>
      </xdr:spPr>
      <xdr:txBody>
        <a:bodyPr wrap="squar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a:t>
          </a:r>
          <a:r>
            <a:rPr lang="en-US" sz="1600" b="1" cap="none" spc="0" baseline="0">
              <a:ln w="0"/>
              <a:solidFill>
                <a:schemeClr val="tx1"/>
              </a:solidFill>
              <a:effectLst>
                <a:outerShdw blurRad="38100" dist="19050" dir="2700000" algn="tl" rotWithShape="0">
                  <a:schemeClr val="dk1">
                    <a:alpha val="40000"/>
                  </a:schemeClr>
                </a:outerShdw>
              </a:effectLst>
            </a:rPr>
            <a:t> PROFIT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323925</xdr:colOff>
      <xdr:row>2</xdr:row>
      <xdr:rowOff>53154</xdr:rowOff>
    </xdr:from>
    <xdr:ext cx="1847776" cy="327845"/>
    <xdr:sp macro="" textlink="pivot_table!$P$3">
      <xdr:nvSpPr>
        <xdr:cNvPr id="15" name="Rectangle 14">
          <a:extLst>
            <a:ext uri="{FF2B5EF4-FFF2-40B4-BE49-F238E27FC236}">
              <a16:creationId xmlns:a16="http://schemas.microsoft.com/office/drawing/2014/main" id="{6806D4FC-C74A-42AA-8F94-5CB1471B7995}"/>
            </a:ext>
          </a:extLst>
        </xdr:cNvPr>
        <xdr:cNvSpPr/>
      </xdr:nvSpPr>
      <xdr:spPr>
        <a:xfrm>
          <a:off x="7639125" y="418914"/>
          <a:ext cx="1847776" cy="327845"/>
        </a:xfrm>
        <a:prstGeom prst="rect">
          <a:avLst/>
        </a:prstGeom>
        <a:noFill/>
      </xdr:spPr>
      <xdr:txBody>
        <a:bodyPr wrap="square" lIns="91440" tIns="45720" rIns="91440" bIns="45720">
          <a:noAutofit/>
        </a:bodyPr>
        <a:lstStyle/>
        <a:p>
          <a:pPr algn="ctr"/>
          <a:endParaRPr lang="en-US" sz="32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103757</xdr:colOff>
      <xdr:row>2</xdr:row>
      <xdr:rowOff>37914</xdr:rowOff>
    </xdr:from>
    <xdr:ext cx="1847776" cy="327845"/>
    <xdr:sp macro="" textlink="pivot_table!$Q$3">
      <xdr:nvSpPr>
        <xdr:cNvPr id="16" name="Rectangle 15">
          <a:extLst>
            <a:ext uri="{FF2B5EF4-FFF2-40B4-BE49-F238E27FC236}">
              <a16:creationId xmlns:a16="http://schemas.microsoft.com/office/drawing/2014/main" id="{03F01DB7-AA68-45FD-B9A0-DFAD9841A88A}"/>
            </a:ext>
          </a:extLst>
        </xdr:cNvPr>
        <xdr:cNvSpPr/>
      </xdr:nvSpPr>
      <xdr:spPr>
        <a:xfrm>
          <a:off x="6199757" y="406882"/>
          <a:ext cx="1847776" cy="327845"/>
        </a:xfrm>
        <a:prstGeom prst="rect">
          <a:avLst/>
        </a:prstGeom>
        <a:noFill/>
      </xdr:spPr>
      <xdr:txBody>
        <a:bodyPr wrap="square" lIns="91440" tIns="45720" rIns="91440" bIns="45720">
          <a:noAutofit/>
        </a:bodyPr>
        <a:lstStyle/>
        <a:p>
          <a:pPr marL="0" indent="0" algn="ctr"/>
          <a:fld id="{A9BA5267-8EEB-4176-83EE-5004235E7318}"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Arial" panose="020B0604020202020204" pitchFamily="34" charset="0"/>
              <a:ea typeface="Calibri"/>
              <a:cs typeface="Arial" panose="020B0604020202020204" pitchFamily="34" charset="0"/>
            </a:rPr>
            <a:pPr marL="0" indent="0" algn="ctr"/>
            <a:t>6,487.85L</a:t>
          </a:fld>
          <a:endParaRPr lang="en-US" sz="1400" b="1" i="0" u="none" strike="noStrike" cap="none" spc="0">
            <a:ln w="0"/>
            <a:solidFill>
              <a:srgbClr val="FF0000"/>
            </a:solidFill>
            <a:effectLst>
              <a:outerShdw blurRad="38100" dist="19050" dir="2700000" algn="tl" rotWithShape="0">
                <a:schemeClr val="dk1">
                  <a:alpha val="40000"/>
                </a:schemeClr>
              </a:outerShdw>
            </a:effectLst>
            <a:latin typeface="Arial" panose="020B0604020202020204" pitchFamily="34" charset="0"/>
            <a:ea typeface="Calibri"/>
            <a:cs typeface="Arial" panose="020B0604020202020204" pitchFamily="34" charset="0"/>
          </a:endParaRPr>
        </a:p>
      </xdr:txBody>
    </xdr:sp>
    <xdr:clientData/>
  </xdr:oneCellAnchor>
  <xdr:twoCellAnchor>
    <xdr:from>
      <xdr:col>0</xdr:col>
      <xdr:colOff>38100</xdr:colOff>
      <xdr:row>5</xdr:row>
      <xdr:rowOff>16042</xdr:rowOff>
    </xdr:from>
    <xdr:to>
      <xdr:col>12</xdr:col>
      <xdr:colOff>449580</xdr:colOff>
      <xdr:row>8</xdr:row>
      <xdr:rowOff>137160</xdr:rowOff>
    </xdr:to>
    <xdr:sp macro="" textlink="">
      <xdr:nvSpPr>
        <xdr:cNvPr id="18" name="Rectangle: Rounded Corners 17">
          <a:extLst>
            <a:ext uri="{FF2B5EF4-FFF2-40B4-BE49-F238E27FC236}">
              <a16:creationId xmlns:a16="http://schemas.microsoft.com/office/drawing/2014/main" id="{C1971042-8D3F-496C-B7EE-D77DAB59D413}"/>
            </a:ext>
          </a:extLst>
        </xdr:cNvPr>
        <xdr:cNvSpPr/>
      </xdr:nvSpPr>
      <xdr:spPr>
        <a:xfrm>
          <a:off x="38100" y="938463"/>
          <a:ext cx="7726680" cy="674571"/>
        </a:xfrm>
        <a:prstGeom prst="roundRect">
          <a:avLst/>
        </a:prstGeom>
        <a:solidFill>
          <a:schemeClr val="accent5">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502920</xdr:colOff>
      <xdr:row>5</xdr:row>
      <xdr:rowOff>8021</xdr:rowOff>
    </xdr:from>
    <xdr:to>
      <xdr:col>15</xdr:col>
      <xdr:colOff>213360</xdr:colOff>
      <xdr:row>8</xdr:row>
      <xdr:rowOff>129540</xdr:rowOff>
    </xdr:to>
    <xdr:sp macro="" textlink="">
      <xdr:nvSpPr>
        <xdr:cNvPr id="19" name="Rectangle: Rounded Corners 18">
          <a:extLst>
            <a:ext uri="{FF2B5EF4-FFF2-40B4-BE49-F238E27FC236}">
              <a16:creationId xmlns:a16="http://schemas.microsoft.com/office/drawing/2014/main" id="{968A1C2B-3CD2-4385-A885-590E609F9A63}"/>
            </a:ext>
          </a:extLst>
        </xdr:cNvPr>
        <xdr:cNvSpPr/>
      </xdr:nvSpPr>
      <xdr:spPr>
        <a:xfrm>
          <a:off x="7818120" y="930442"/>
          <a:ext cx="1539240" cy="674972"/>
        </a:xfrm>
        <a:prstGeom prst="roundRect">
          <a:avLst/>
        </a:prstGeom>
        <a:solidFill>
          <a:schemeClr val="accent5">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152400</xdr:colOff>
      <xdr:row>5</xdr:row>
      <xdr:rowOff>76200</xdr:rowOff>
    </xdr:from>
    <xdr:to>
      <xdr:col>12</xdr:col>
      <xdr:colOff>365760</xdr:colOff>
      <xdr:row>8</xdr:row>
      <xdr:rowOff>114300</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416EB096-C031-4E35-908E-481FA54C1B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990600"/>
              <a:ext cx="752856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5</xdr:row>
      <xdr:rowOff>80211</xdr:rowOff>
    </xdr:from>
    <xdr:to>
      <xdr:col>15</xdr:col>
      <xdr:colOff>144780</xdr:colOff>
      <xdr:row>8</xdr:row>
      <xdr:rowOff>99060</xdr:rowOff>
    </xdr:to>
    <mc:AlternateContent xmlns:mc="http://schemas.openxmlformats.org/markup-compatibility/2006">
      <mc:Choice xmlns:a14="http://schemas.microsoft.com/office/drawing/2010/main" Requires="a14">
        <xdr:graphicFrame macro="">
          <xdr:nvGraphicFramePr>
            <xdr:cNvPr id="22" name="year 1">
              <a:extLst>
                <a:ext uri="{FF2B5EF4-FFF2-40B4-BE49-F238E27FC236}">
                  <a16:creationId xmlns:a16="http://schemas.microsoft.com/office/drawing/2014/main" id="{2A0D9AF5-E5A3-4FEF-AEE8-DE3F8B33CAD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886700" y="994611"/>
              <a:ext cx="1402080" cy="567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9</xdr:row>
      <xdr:rowOff>7620</xdr:rowOff>
    </xdr:from>
    <xdr:to>
      <xdr:col>3</xdr:col>
      <xdr:colOff>228600</xdr:colOff>
      <xdr:row>17</xdr:row>
      <xdr:rowOff>129540</xdr:rowOff>
    </xdr:to>
    <xdr:sp macro="" textlink="">
      <xdr:nvSpPr>
        <xdr:cNvPr id="23" name="Rectangle: Rounded Corners 22">
          <a:extLst>
            <a:ext uri="{FF2B5EF4-FFF2-40B4-BE49-F238E27FC236}">
              <a16:creationId xmlns:a16="http://schemas.microsoft.com/office/drawing/2014/main" id="{BEF490A6-E489-D27D-7227-B81A58314967}"/>
            </a:ext>
          </a:extLst>
        </xdr:cNvPr>
        <xdr:cNvSpPr/>
      </xdr:nvSpPr>
      <xdr:spPr>
        <a:xfrm>
          <a:off x="53340" y="1653540"/>
          <a:ext cx="2004060" cy="158496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9</xdr:row>
      <xdr:rowOff>7620</xdr:rowOff>
    </xdr:from>
    <xdr:to>
      <xdr:col>7</xdr:col>
      <xdr:colOff>571500</xdr:colOff>
      <xdr:row>17</xdr:row>
      <xdr:rowOff>129540</xdr:rowOff>
    </xdr:to>
    <xdr:sp macro="" textlink="">
      <xdr:nvSpPr>
        <xdr:cNvPr id="28" name="Rectangle: Rounded Corners 27">
          <a:extLst>
            <a:ext uri="{FF2B5EF4-FFF2-40B4-BE49-F238E27FC236}">
              <a16:creationId xmlns:a16="http://schemas.microsoft.com/office/drawing/2014/main" id="{8AFCBB7E-6A22-4068-9D32-D6C333838205}"/>
            </a:ext>
          </a:extLst>
        </xdr:cNvPr>
        <xdr:cNvSpPr/>
      </xdr:nvSpPr>
      <xdr:spPr>
        <a:xfrm>
          <a:off x="2095500" y="1653540"/>
          <a:ext cx="2743200" cy="158496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17</xdr:row>
      <xdr:rowOff>175260</xdr:rowOff>
    </xdr:from>
    <xdr:to>
      <xdr:col>3</xdr:col>
      <xdr:colOff>228600</xdr:colOff>
      <xdr:row>26</xdr:row>
      <xdr:rowOff>91440</xdr:rowOff>
    </xdr:to>
    <xdr:sp macro="" textlink="">
      <xdr:nvSpPr>
        <xdr:cNvPr id="29" name="Rectangle: Rounded Corners 28">
          <a:extLst>
            <a:ext uri="{FF2B5EF4-FFF2-40B4-BE49-F238E27FC236}">
              <a16:creationId xmlns:a16="http://schemas.microsoft.com/office/drawing/2014/main" id="{7DADCAF9-189A-4330-A043-6D65C13DF527}"/>
            </a:ext>
          </a:extLst>
        </xdr:cNvPr>
        <xdr:cNvSpPr/>
      </xdr:nvSpPr>
      <xdr:spPr>
        <a:xfrm>
          <a:off x="53340" y="3284220"/>
          <a:ext cx="2004060" cy="156210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17</xdr:row>
      <xdr:rowOff>167640</xdr:rowOff>
    </xdr:from>
    <xdr:to>
      <xdr:col>7</xdr:col>
      <xdr:colOff>579120</xdr:colOff>
      <xdr:row>26</xdr:row>
      <xdr:rowOff>83820</xdr:rowOff>
    </xdr:to>
    <xdr:sp macro="" textlink="">
      <xdr:nvSpPr>
        <xdr:cNvPr id="30" name="Rectangle: Rounded Corners 29">
          <a:extLst>
            <a:ext uri="{FF2B5EF4-FFF2-40B4-BE49-F238E27FC236}">
              <a16:creationId xmlns:a16="http://schemas.microsoft.com/office/drawing/2014/main" id="{89067B0A-38D3-4C3A-81FB-F826FA4A4588}"/>
            </a:ext>
          </a:extLst>
        </xdr:cNvPr>
        <xdr:cNvSpPr/>
      </xdr:nvSpPr>
      <xdr:spPr>
        <a:xfrm>
          <a:off x="2095500" y="3276600"/>
          <a:ext cx="2750820" cy="156210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xdr:colOff>
      <xdr:row>18</xdr:row>
      <xdr:rowOff>0</xdr:rowOff>
    </xdr:from>
    <xdr:to>
      <xdr:col>11</xdr:col>
      <xdr:colOff>335280</xdr:colOff>
      <xdr:row>26</xdr:row>
      <xdr:rowOff>83820</xdr:rowOff>
    </xdr:to>
    <xdr:sp macro="" textlink="">
      <xdr:nvSpPr>
        <xdr:cNvPr id="31" name="Rectangle: Rounded Corners 30">
          <a:extLst>
            <a:ext uri="{FF2B5EF4-FFF2-40B4-BE49-F238E27FC236}">
              <a16:creationId xmlns:a16="http://schemas.microsoft.com/office/drawing/2014/main" id="{08BF7065-D319-4922-8327-C53E9EF374A5}"/>
            </a:ext>
          </a:extLst>
        </xdr:cNvPr>
        <xdr:cNvSpPr/>
      </xdr:nvSpPr>
      <xdr:spPr>
        <a:xfrm>
          <a:off x="4884420" y="3291840"/>
          <a:ext cx="2156460" cy="154686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9</xdr:row>
      <xdr:rowOff>0</xdr:rowOff>
    </xdr:from>
    <xdr:to>
      <xdr:col>12</xdr:col>
      <xdr:colOff>320040</xdr:colOff>
      <xdr:row>17</xdr:row>
      <xdr:rowOff>137160</xdr:rowOff>
    </xdr:to>
    <xdr:sp macro="" textlink="">
      <xdr:nvSpPr>
        <xdr:cNvPr id="32" name="Rectangle: Rounded Corners 31">
          <a:extLst>
            <a:ext uri="{FF2B5EF4-FFF2-40B4-BE49-F238E27FC236}">
              <a16:creationId xmlns:a16="http://schemas.microsoft.com/office/drawing/2014/main" id="{49207D58-EB7F-480A-AB82-0071C9E5654E}"/>
            </a:ext>
          </a:extLst>
        </xdr:cNvPr>
        <xdr:cNvSpPr/>
      </xdr:nvSpPr>
      <xdr:spPr>
        <a:xfrm>
          <a:off x="4876800" y="1645920"/>
          <a:ext cx="2758440" cy="160020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9</xdr:row>
      <xdr:rowOff>45720</xdr:rowOff>
    </xdr:from>
    <xdr:to>
      <xdr:col>3</xdr:col>
      <xdr:colOff>160020</xdr:colOff>
      <xdr:row>17</xdr:row>
      <xdr:rowOff>99060</xdr:rowOff>
    </xdr:to>
    <xdr:graphicFrame macro="">
      <xdr:nvGraphicFramePr>
        <xdr:cNvPr id="33" name="Chart 32">
          <a:extLst>
            <a:ext uri="{FF2B5EF4-FFF2-40B4-BE49-F238E27FC236}">
              <a16:creationId xmlns:a16="http://schemas.microsoft.com/office/drawing/2014/main" id="{A02D2134-4A50-453A-A4C4-B98839296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18</xdr:row>
      <xdr:rowOff>15240</xdr:rowOff>
    </xdr:from>
    <xdr:to>
      <xdr:col>3</xdr:col>
      <xdr:colOff>190500</xdr:colOff>
      <xdr:row>26</xdr:row>
      <xdr:rowOff>60960</xdr:rowOff>
    </xdr:to>
    <xdr:graphicFrame macro="">
      <xdr:nvGraphicFramePr>
        <xdr:cNvPr id="35" name="Chart 34">
          <a:extLst>
            <a:ext uri="{FF2B5EF4-FFF2-40B4-BE49-F238E27FC236}">
              <a16:creationId xmlns:a16="http://schemas.microsoft.com/office/drawing/2014/main" id="{BFA5B9A0-F686-4814-85BD-521397FDD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304801</xdr:colOff>
      <xdr:row>9</xdr:row>
      <xdr:rowOff>38099</xdr:rowOff>
    </xdr:from>
    <xdr:to>
      <xdr:col>7</xdr:col>
      <xdr:colOff>502920</xdr:colOff>
      <xdr:row>17</xdr:row>
      <xdr:rowOff>76200</xdr:rowOff>
    </xdr:to>
    <xdr:graphicFrame macro="">
      <xdr:nvGraphicFramePr>
        <xdr:cNvPr id="36" name="Chart 35">
          <a:extLst>
            <a:ext uri="{FF2B5EF4-FFF2-40B4-BE49-F238E27FC236}">
              <a16:creationId xmlns:a16="http://schemas.microsoft.com/office/drawing/2014/main" id="{3F770E37-B142-49B6-8161-DBA00283F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320040</xdr:colOff>
      <xdr:row>18</xdr:row>
      <xdr:rowOff>10590</xdr:rowOff>
    </xdr:from>
    <xdr:to>
      <xdr:col>7</xdr:col>
      <xdr:colOff>548640</xdr:colOff>
      <xdr:row>26</xdr:row>
      <xdr:rowOff>45303</xdr:rowOff>
    </xdr:to>
    <xdr:graphicFrame macro="">
      <xdr:nvGraphicFramePr>
        <xdr:cNvPr id="37" name="Chart 36">
          <a:extLst>
            <a:ext uri="{FF2B5EF4-FFF2-40B4-BE49-F238E27FC236}">
              <a16:creationId xmlns:a16="http://schemas.microsoft.com/office/drawing/2014/main" id="{37956D9C-0F43-4F1D-8089-5E9B2AB8F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38100</xdr:colOff>
      <xdr:row>9</xdr:row>
      <xdr:rowOff>38100</xdr:rowOff>
    </xdr:from>
    <xdr:to>
      <xdr:col>12</xdr:col>
      <xdr:colOff>281940</xdr:colOff>
      <xdr:row>17</xdr:row>
      <xdr:rowOff>99059</xdr:rowOff>
    </xdr:to>
    <xdr:graphicFrame macro="">
      <xdr:nvGraphicFramePr>
        <xdr:cNvPr id="38" name="Chart 37">
          <a:extLst>
            <a:ext uri="{FF2B5EF4-FFF2-40B4-BE49-F238E27FC236}">
              <a16:creationId xmlns:a16="http://schemas.microsoft.com/office/drawing/2014/main" id="{23A937C1-587A-492F-824C-B3BCF7D48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106680</xdr:colOff>
      <xdr:row>18</xdr:row>
      <xdr:rowOff>38100</xdr:rowOff>
    </xdr:from>
    <xdr:to>
      <xdr:col>11</xdr:col>
      <xdr:colOff>251459</xdr:colOff>
      <xdr:row>26</xdr:row>
      <xdr:rowOff>30480</xdr:rowOff>
    </xdr:to>
    <xdr:graphicFrame macro="">
      <xdr:nvGraphicFramePr>
        <xdr:cNvPr id="39" name="Chart 38">
          <a:extLst>
            <a:ext uri="{FF2B5EF4-FFF2-40B4-BE49-F238E27FC236}">
              <a16:creationId xmlns:a16="http://schemas.microsoft.com/office/drawing/2014/main" id="{4AC26031-E1C4-4AA2-A3CC-97CF9990E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373380</xdr:colOff>
      <xdr:row>18</xdr:row>
      <xdr:rowOff>7620</xdr:rowOff>
    </xdr:from>
    <xdr:to>
      <xdr:col>15</xdr:col>
      <xdr:colOff>243840</xdr:colOff>
      <xdr:row>26</xdr:row>
      <xdr:rowOff>91440</xdr:rowOff>
    </xdr:to>
    <xdr:sp macro="" textlink="">
      <xdr:nvSpPr>
        <xdr:cNvPr id="40" name="Rectangle: Rounded Corners 39">
          <a:extLst>
            <a:ext uri="{FF2B5EF4-FFF2-40B4-BE49-F238E27FC236}">
              <a16:creationId xmlns:a16="http://schemas.microsoft.com/office/drawing/2014/main" id="{3AFDEBFE-E569-4FD3-957A-7F1D83D73D57}"/>
            </a:ext>
          </a:extLst>
        </xdr:cNvPr>
        <xdr:cNvSpPr/>
      </xdr:nvSpPr>
      <xdr:spPr>
        <a:xfrm>
          <a:off x="7078980" y="3299460"/>
          <a:ext cx="2308860" cy="154686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350520</xdr:colOff>
      <xdr:row>9</xdr:row>
      <xdr:rowOff>0</xdr:rowOff>
    </xdr:from>
    <xdr:to>
      <xdr:col>15</xdr:col>
      <xdr:colOff>228600</xdr:colOff>
      <xdr:row>17</xdr:row>
      <xdr:rowOff>137160</xdr:rowOff>
    </xdr:to>
    <xdr:sp macro="" textlink="">
      <xdr:nvSpPr>
        <xdr:cNvPr id="42" name="Rectangle: Rounded Corners 41">
          <a:extLst>
            <a:ext uri="{FF2B5EF4-FFF2-40B4-BE49-F238E27FC236}">
              <a16:creationId xmlns:a16="http://schemas.microsoft.com/office/drawing/2014/main" id="{1D79E7AE-4630-4F6A-86DC-91457A3D80B5}"/>
            </a:ext>
          </a:extLst>
        </xdr:cNvPr>
        <xdr:cNvSpPr/>
      </xdr:nvSpPr>
      <xdr:spPr>
        <a:xfrm>
          <a:off x="7665720" y="1645920"/>
          <a:ext cx="1706880" cy="160020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381001</xdr:colOff>
      <xdr:row>9</xdr:row>
      <xdr:rowOff>38100</xdr:rowOff>
    </xdr:from>
    <xdr:to>
      <xdr:col>15</xdr:col>
      <xdr:colOff>190500</xdr:colOff>
      <xdr:row>17</xdr:row>
      <xdr:rowOff>96520</xdr:rowOff>
    </xdr:to>
    <xdr:graphicFrame macro="">
      <xdr:nvGraphicFramePr>
        <xdr:cNvPr id="41" name="Chart 40">
          <a:extLst>
            <a:ext uri="{FF2B5EF4-FFF2-40B4-BE49-F238E27FC236}">
              <a16:creationId xmlns:a16="http://schemas.microsoft.com/office/drawing/2014/main" id="{16C08B6E-F35C-4C3C-B531-6BE1093B7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411480</xdr:colOff>
      <xdr:row>18</xdr:row>
      <xdr:rowOff>38100</xdr:rowOff>
    </xdr:from>
    <xdr:to>
      <xdr:col>15</xdr:col>
      <xdr:colOff>198119</xdr:colOff>
      <xdr:row>26</xdr:row>
      <xdr:rowOff>38100</xdr:rowOff>
    </xdr:to>
    <xdr:graphicFrame macro="">
      <xdr:nvGraphicFramePr>
        <xdr:cNvPr id="43" name="Chart 42">
          <a:extLst>
            <a:ext uri="{FF2B5EF4-FFF2-40B4-BE49-F238E27FC236}">
              <a16:creationId xmlns:a16="http://schemas.microsoft.com/office/drawing/2014/main" id="{29F8702C-6A13-47F4-8621-C4BD97E69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521368</xdr:colOff>
      <xdr:row>0</xdr:row>
      <xdr:rowOff>60961</xdr:rowOff>
    </xdr:from>
    <xdr:to>
      <xdr:col>15</xdr:col>
      <xdr:colOff>200526</xdr:colOff>
      <xdr:row>4</xdr:row>
      <xdr:rowOff>144379</xdr:rowOff>
    </xdr:to>
    <xdr:sp macro="" textlink="">
      <xdr:nvSpPr>
        <xdr:cNvPr id="48" name="Rectangle: Rounded Corners 47">
          <a:extLst>
            <a:ext uri="{FF2B5EF4-FFF2-40B4-BE49-F238E27FC236}">
              <a16:creationId xmlns:a16="http://schemas.microsoft.com/office/drawing/2014/main" id="{488DE057-CFB5-4EDA-85B1-70AB45C3E2E8}"/>
            </a:ext>
          </a:extLst>
        </xdr:cNvPr>
        <xdr:cNvSpPr/>
      </xdr:nvSpPr>
      <xdr:spPr>
        <a:xfrm>
          <a:off x="7836568" y="60961"/>
          <a:ext cx="1507958" cy="821355"/>
        </a:xfrm>
        <a:prstGeom prst="roundRect">
          <a:avLst>
            <a:gd name="adj" fmla="val 1373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585537</xdr:colOff>
      <xdr:row>0</xdr:row>
      <xdr:rowOff>120316</xdr:rowOff>
    </xdr:from>
    <xdr:to>
      <xdr:col>15</xdr:col>
      <xdr:colOff>144379</xdr:colOff>
      <xdr:row>4</xdr:row>
      <xdr:rowOff>72189</xdr:rowOff>
    </xdr:to>
    <mc:AlternateContent xmlns:mc="http://schemas.openxmlformats.org/markup-compatibility/2006">
      <mc:Choice xmlns:a14="http://schemas.microsoft.com/office/drawing/2010/main" Requires="a14">
        <xdr:graphicFrame macro="">
          <xdr:nvGraphicFramePr>
            <xdr:cNvPr id="46" name="Sales_Channel">
              <a:extLst>
                <a:ext uri="{FF2B5EF4-FFF2-40B4-BE49-F238E27FC236}">
                  <a16:creationId xmlns:a16="http://schemas.microsoft.com/office/drawing/2014/main" id="{AE57EF9F-0CF0-45D9-940D-2229E15E311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7900737" y="120316"/>
              <a:ext cx="1387642" cy="68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254268</xdr:colOff>
      <xdr:row>0</xdr:row>
      <xdr:rowOff>53340</xdr:rowOff>
    </xdr:from>
    <xdr:to>
      <xdr:col>17</xdr:col>
      <xdr:colOff>411480</xdr:colOff>
      <xdr:row>10</xdr:row>
      <xdr:rowOff>22860</xdr:rowOff>
    </xdr:to>
    <xdr:sp macro="" textlink="">
      <xdr:nvSpPr>
        <xdr:cNvPr id="49" name="Rectangle: Rounded Corners 48">
          <a:extLst>
            <a:ext uri="{FF2B5EF4-FFF2-40B4-BE49-F238E27FC236}">
              <a16:creationId xmlns:a16="http://schemas.microsoft.com/office/drawing/2014/main" id="{6CCBFB57-21BF-4BC1-AFD6-98F18D386825}"/>
            </a:ext>
          </a:extLst>
        </xdr:cNvPr>
        <xdr:cNvSpPr/>
      </xdr:nvSpPr>
      <xdr:spPr>
        <a:xfrm>
          <a:off x="9398268" y="53340"/>
          <a:ext cx="1376412" cy="1798320"/>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261888</xdr:colOff>
      <xdr:row>10</xdr:row>
      <xdr:rowOff>51735</xdr:rowOff>
    </xdr:from>
    <xdr:to>
      <xdr:col>17</xdr:col>
      <xdr:colOff>449580</xdr:colOff>
      <xdr:row>18</xdr:row>
      <xdr:rowOff>30480</xdr:rowOff>
    </xdr:to>
    <xdr:sp macro="" textlink="">
      <xdr:nvSpPr>
        <xdr:cNvPr id="50" name="Rectangle: Rounded Corners 49">
          <a:extLst>
            <a:ext uri="{FF2B5EF4-FFF2-40B4-BE49-F238E27FC236}">
              <a16:creationId xmlns:a16="http://schemas.microsoft.com/office/drawing/2014/main" id="{DA0A8FDE-99FE-4E40-8DEE-DAE8B0B194AA}"/>
            </a:ext>
          </a:extLst>
        </xdr:cNvPr>
        <xdr:cNvSpPr/>
      </xdr:nvSpPr>
      <xdr:spPr>
        <a:xfrm>
          <a:off x="9405888" y="1880535"/>
          <a:ext cx="1406892" cy="1441785"/>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280335</xdr:colOff>
      <xdr:row>18</xdr:row>
      <xdr:rowOff>76199</xdr:rowOff>
    </xdr:from>
    <xdr:to>
      <xdr:col>17</xdr:col>
      <xdr:colOff>449580</xdr:colOff>
      <xdr:row>26</xdr:row>
      <xdr:rowOff>93044</xdr:rowOff>
    </xdr:to>
    <xdr:sp macro="" textlink="">
      <xdr:nvSpPr>
        <xdr:cNvPr id="51" name="Rectangle: Rounded Corners 50">
          <a:extLst>
            <a:ext uri="{FF2B5EF4-FFF2-40B4-BE49-F238E27FC236}">
              <a16:creationId xmlns:a16="http://schemas.microsoft.com/office/drawing/2014/main" id="{25C21C45-F6AA-493B-BB48-E98D64F639E1}"/>
            </a:ext>
          </a:extLst>
        </xdr:cNvPr>
        <xdr:cNvSpPr/>
      </xdr:nvSpPr>
      <xdr:spPr>
        <a:xfrm>
          <a:off x="9424335" y="3368039"/>
          <a:ext cx="1388445" cy="1479885"/>
        </a:xfrm>
        <a:prstGeom prst="roundRect">
          <a:avLst>
            <a:gd name="adj" fmla="val 635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332072</xdr:colOff>
      <xdr:row>18</xdr:row>
      <xdr:rowOff>103873</xdr:rowOff>
    </xdr:from>
    <xdr:to>
      <xdr:col>17</xdr:col>
      <xdr:colOff>393032</xdr:colOff>
      <xdr:row>26</xdr:row>
      <xdr:rowOff>65772</xdr:rowOff>
    </xdr:to>
    <mc:AlternateContent xmlns:mc="http://schemas.openxmlformats.org/markup-compatibility/2006">
      <mc:Choice xmlns:a14="http://schemas.microsoft.com/office/drawing/2010/main" Requires="a14">
        <xdr:graphicFrame macro="">
          <xdr:nvGraphicFramePr>
            <xdr:cNvPr id="47" name="Product_Category">
              <a:extLst>
                <a:ext uri="{FF2B5EF4-FFF2-40B4-BE49-F238E27FC236}">
                  <a16:creationId xmlns:a16="http://schemas.microsoft.com/office/drawing/2014/main" id="{5C37F413-57A8-4B67-9484-D12FF8DDAC0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476072" y="3395713"/>
              <a:ext cx="128016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318034</xdr:colOff>
      <xdr:row>10</xdr:row>
      <xdr:rowOff>76200</xdr:rowOff>
    </xdr:from>
    <xdr:to>
      <xdr:col>17</xdr:col>
      <xdr:colOff>396240</xdr:colOff>
      <xdr:row>18</xdr:row>
      <xdr:rowOff>2006</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485F1F71-7E70-4299-A935-4DA22A1B5F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62034" y="1905000"/>
              <a:ext cx="1297406" cy="1388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300791</xdr:colOff>
      <xdr:row>0</xdr:row>
      <xdr:rowOff>85825</xdr:rowOff>
    </xdr:from>
    <xdr:to>
      <xdr:col>17</xdr:col>
      <xdr:colOff>365760</xdr:colOff>
      <xdr:row>9</xdr:row>
      <xdr:rowOff>175260</xdr:rowOff>
    </xdr:to>
    <mc:AlternateContent xmlns:mc="http://schemas.openxmlformats.org/markup-compatibility/2006">
      <mc:Choice xmlns:a14="http://schemas.microsoft.com/office/drawing/2010/main" Requires="a14">
        <xdr:graphicFrame macro="">
          <xdr:nvGraphicFramePr>
            <xdr:cNvPr id="44" name="Sales_Rep">
              <a:extLst>
                <a:ext uri="{FF2B5EF4-FFF2-40B4-BE49-F238E27FC236}">
                  <a16:creationId xmlns:a16="http://schemas.microsoft.com/office/drawing/2014/main" id="{8B2FD34F-4C79-4E79-89FD-541783140CB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9444791" y="85825"/>
              <a:ext cx="1284169" cy="1735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92.738805555557" createdVersion="8" refreshedVersion="8" minRefreshableVersion="3" recordCount="1000" xr:uid="{FB42E7B8-956A-4A88-AD34-8030DFAE9990}">
  <cacheSource type="worksheet">
    <worksheetSource name="Table2"/>
  </cacheSource>
  <cacheFields count="14">
    <cacheField name="Sale_Date" numFmtId="14">
      <sharedItems containsSemiMixedTypes="0" containsNonDate="0" containsDate="1" containsString="0" minDate="2023-01-01T00:00:00" maxDate="2024-01-02T00:00:00"/>
    </cacheField>
    <cacheField name="month" numFmtId="14">
      <sharedItems count="23">
        <s v="Jan"/>
        <s v="Feb"/>
        <s v="Mar"/>
        <s v="Apr"/>
        <s v="May"/>
        <s v="Jun"/>
        <s v="Jul"/>
        <s v="Aug"/>
        <s v="Sep"/>
        <s v="Oct"/>
        <s v="Nov"/>
        <s v="Dec"/>
        <s v="January" u="1"/>
        <s v="February" u="1"/>
        <s v="March" u="1"/>
        <s v="April" u="1"/>
        <s v="June" u="1"/>
        <s v="July" u="1"/>
        <s v="August" u="1"/>
        <s v="September" u="1"/>
        <s v="October" u="1"/>
        <s v="November" u="1"/>
        <s v="December" u="1"/>
      </sharedItems>
    </cacheField>
    <cacheField name="year" numFmtId="14">
      <sharedItems count="2">
        <s v="2023"/>
        <s v="2024"/>
      </sharedItems>
    </cacheField>
    <cacheField name="Sales_Rep" numFmtId="0">
      <sharedItems count="5">
        <s v="Eve"/>
        <s v="Charlie"/>
        <s v="David"/>
        <s v="Bob"/>
        <s v="Alice"/>
      </sharedItems>
    </cacheField>
    <cacheField name="Region" numFmtId="0">
      <sharedItems count="4">
        <s v="North"/>
        <s v="South"/>
        <s v="West"/>
        <s v="East"/>
      </sharedItems>
    </cacheField>
    <cacheField name="Product_Category" numFmtId="0">
      <sharedItems count="4">
        <s v="Clothing"/>
        <s v="Furniture"/>
        <s v="Electronics"/>
        <s v="Food"/>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Quantity_Sold" numFmtId="0">
      <sharedItems containsSemiMixedTypes="0" containsString="0" containsNumber="1" containsInteger="1" minValue="1" maxValue="49"/>
    </cacheField>
    <cacheField name="TOTAL_REVENUE" numFmtId="0">
      <sharedItems containsSemiMixedTypes="0" containsString="0" containsNumber="1" minValue="211.18" maxValue="252147.36"/>
    </cacheField>
    <cacheField name="Total_profit" numFmtId="0">
      <sharedItems containsSemiMixedTypes="0" containsString="0" containsNumber="1" minValue="17.360000000000127" maxValue="23441.109999999528"/>
    </cacheField>
    <cacheField name="Customer_Type" numFmtId="0">
      <sharedItems count="2">
        <s v="Returning"/>
        <s v="New"/>
      </sharedItems>
    </cacheField>
    <cacheField name="Payment_Method" numFmtId="0">
      <sharedItems count="3">
        <s v="Cash"/>
        <s v="Bank Transfer"/>
        <s v="Credit Card"/>
      </sharedItems>
    </cacheField>
    <cacheField name="Sales_Channel" numFmtId="0">
      <sharedItems count="2">
        <s v="Online"/>
        <s v="Retail"/>
      </sharedItems>
    </cacheField>
  </cacheFields>
  <extLst>
    <ext xmlns:x14="http://schemas.microsoft.com/office/spreadsheetml/2009/9/main" uri="{725AE2AE-9491-48be-B2B4-4EB974FC3084}">
      <x14:pivotCacheDefinition pivotCacheId="340747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1-01T00:00:00"/>
    <x v="0"/>
    <x v="0"/>
    <x v="0"/>
    <x v="0"/>
    <x v="0"/>
    <n v="4635.2299999999996"/>
    <n v="5075.4399999999996"/>
    <n v="38"/>
    <n v="192866.71999999997"/>
    <n v="16727.980000000003"/>
    <x v="0"/>
    <x v="0"/>
    <x v="0"/>
  </r>
  <r>
    <d v="2023-01-01T00:00:00"/>
    <x v="0"/>
    <x v="0"/>
    <x v="0"/>
    <x v="1"/>
    <x v="1"/>
    <n v="664.33"/>
    <n v="863.03"/>
    <n v="12"/>
    <n v="10356.36"/>
    <n v="2384.3999999999992"/>
    <x v="0"/>
    <x v="1"/>
    <x v="1"/>
  </r>
  <r>
    <d v="2023-01-01T00:00:00"/>
    <x v="0"/>
    <x v="0"/>
    <x v="1"/>
    <x v="0"/>
    <x v="0"/>
    <n v="4071.01"/>
    <n v="4304.7"/>
    <n v="35"/>
    <n v="150664.5"/>
    <n v="8179.149999999986"/>
    <x v="1"/>
    <x v="2"/>
    <x v="0"/>
  </r>
  <r>
    <d v="2023-01-02T00:00:00"/>
    <x v="0"/>
    <x v="0"/>
    <x v="2"/>
    <x v="1"/>
    <x v="2"/>
    <n v="2242.0100000000002"/>
    <n v="2282.23"/>
    <n v="10"/>
    <n v="22822.3"/>
    <n v="402.199999999998"/>
    <x v="0"/>
    <x v="2"/>
    <x v="0"/>
  </r>
  <r>
    <d v="2023-01-02T00:00:00"/>
    <x v="0"/>
    <x v="0"/>
    <x v="2"/>
    <x v="2"/>
    <x v="2"/>
    <n v="4535.38"/>
    <n v="4557.5600000000004"/>
    <n v="26"/>
    <n v="118496.56000000001"/>
    <n v="576.68000000000757"/>
    <x v="1"/>
    <x v="2"/>
    <x v="0"/>
  </r>
  <r>
    <d v="2023-01-03T00:00:00"/>
    <x v="0"/>
    <x v="0"/>
    <x v="3"/>
    <x v="3"/>
    <x v="1"/>
    <n v="745.93"/>
    <n v="1143.02"/>
    <n v="30"/>
    <n v="34290.6"/>
    <n v="11912.7"/>
    <x v="0"/>
    <x v="2"/>
    <x v="0"/>
  </r>
  <r>
    <d v="2023-01-03T00:00:00"/>
    <x v="0"/>
    <x v="0"/>
    <x v="1"/>
    <x v="3"/>
    <x v="1"/>
    <n v="3625.94"/>
    <n v="3880.53"/>
    <n v="20"/>
    <n v="77610.600000000006"/>
    <n v="5091.8000000000029"/>
    <x v="1"/>
    <x v="1"/>
    <x v="0"/>
  </r>
  <r>
    <d v="2023-01-03T00:00:00"/>
    <x v="0"/>
    <x v="0"/>
    <x v="3"/>
    <x v="3"/>
    <x v="1"/>
    <n v="4632.8500000000004"/>
    <n v="4711.7"/>
    <n v="31"/>
    <n v="146062.69999999998"/>
    <n v="2444.3499999999831"/>
    <x v="1"/>
    <x v="0"/>
    <x v="1"/>
  </r>
  <r>
    <d v="2023-01-04T00:00:00"/>
    <x v="0"/>
    <x v="0"/>
    <x v="3"/>
    <x v="3"/>
    <x v="1"/>
    <n v="1727.12"/>
    <n v="1865.83"/>
    <n v="17"/>
    <n v="31719.11"/>
    <n v="2358.0700000000006"/>
    <x v="1"/>
    <x v="0"/>
    <x v="0"/>
  </r>
  <r>
    <d v="2023-01-04T00:00:00"/>
    <x v="0"/>
    <x v="0"/>
    <x v="0"/>
    <x v="0"/>
    <x v="2"/>
    <n v="3686.81"/>
    <n v="3710.92"/>
    <n v="14"/>
    <n v="51952.880000000005"/>
    <n v="337.54000000000178"/>
    <x v="1"/>
    <x v="1"/>
    <x v="1"/>
  </r>
  <r>
    <d v="2023-01-04T00:00:00"/>
    <x v="0"/>
    <x v="0"/>
    <x v="0"/>
    <x v="3"/>
    <x v="2"/>
    <n v="4764.96"/>
    <n v="5074.42"/>
    <n v="10"/>
    <n v="50744.2"/>
    <n v="3094.6000000000004"/>
    <x v="1"/>
    <x v="0"/>
    <x v="0"/>
  </r>
  <r>
    <d v="2023-01-04T00:00:00"/>
    <x v="0"/>
    <x v="0"/>
    <x v="0"/>
    <x v="1"/>
    <x v="1"/>
    <n v="1394.74"/>
    <n v="1848.69"/>
    <n v="38"/>
    <n v="70250.22"/>
    <n v="17250.100000000002"/>
    <x v="0"/>
    <x v="1"/>
    <x v="1"/>
  </r>
  <r>
    <d v="2023-01-04T00:00:00"/>
    <x v="0"/>
    <x v="0"/>
    <x v="3"/>
    <x v="1"/>
    <x v="1"/>
    <n v="1569.31"/>
    <n v="1798.02"/>
    <n v="8"/>
    <n v="14384.16"/>
    <n v="1829.6800000000003"/>
    <x v="1"/>
    <x v="2"/>
    <x v="0"/>
  </r>
  <r>
    <d v="2023-01-04T00:00:00"/>
    <x v="0"/>
    <x v="0"/>
    <x v="0"/>
    <x v="0"/>
    <x v="1"/>
    <n v="4037.21"/>
    <n v="4323.71"/>
    <n v="14"/>
    <n v="60531.94"/>
    <n v="4011"/>
    <x v="0"/>
    <x v="2"/>
    <x v="0"/>
  </r>
  <r>
    <d v="2023-01-05T00:00:00"/>
    <x v="0"/>
    <x v="0"/>
    <x v="4"/>
    <x v="3"/>
    <x v="0"/>
    <n v="575.32000000000005"/>
    <n v="914.77"/>
    <n v="2"/>
    <n v="1829.54"/>
    <n v="678.89999999999986"/>
    <x v="0"/>
    <x v="1"/>
    <x v="0"/>
  </r>
  <r>
    <d v="2023-01-05T00:00:00"/>
    <x v="0"/>
    <x v="0"/>
    <x v="3"/>
    <x v="0"/>
    <x v="0"/>
    <n v="3451.59"/>
    <n v="3929.26"/>
    <n v="11"/>
    <n v="43221.86"/>
    <n v="5254.3700000000008"/>
    <x v="1"/>
    <x v="2"/>
    <x v="1"/>
  </r>
  <r>
    <d v="2023-01-05T00:00:00"/>
    <x v="0"/>
    <x v="0"/>
    <x v="3"/>
    <x v="1"/>
    <x v="3"/>
    <n v="618.79"/>
    <n v="938.04"/>
    <n v="44"/>
    <n v="41273.759999999995"/>
    <n v="14047"/>
    <x v="0"/>
    <x v="0"/>
    <x v="0"/>
  </r>
  <r>
    <d v="2023-01-06T00:00:00"/>
    <x v="0"/>
    <x v="0"/>
    <x v="0"/>
    <x v="3"/>
    <x v="0"/>
    <n v="4756.55"/>
    <n v="4888.46"/>
    <n v="15"/>
    <n v="73326.899999999994"/>
    <n v="1978.6499999999978"/>
    <x v="1"/>
    <x v="2"/>
    <x v="0"/>
  </r>
  <r>
    <d v="2023-01-06T00:00:00"/>
    <x v="0"/>
    <x v="0"/>
    <x v="0"/>
    <x v="1"/>
    <x v="1"/>
    <n v="3702.51"/>
    <n v="3964.65"/>
    <n v="46"/>
    <n v="182373.9"/>
    <n v="12058.439999999995"/>
    <x v="1"/>
    <x v="1"/>
    <x v="0"/>
  </r>
  <r>
    <d v="2023-01-07T00:00:00"/>
    <x v="0"/>
    <x v="0"/>
    <x v="3"/>
    <x v="0"/>
    <x v="1"/>
    <n v="3365.28"/>
    <n v="3730.43"/>
    <n v="9"/>
    <n v="33573.869999999995"/>
    <n v="3286.3499999999967"/>
    <x v="1"/>
    <x v="1"/>
    <x v="0"/>
  </r>
  <r>
    <d v="2023-01-07T00:00:00"/>
    <x v="0"/>
    <x v="0"/>
    <x v="2"/>
    <x v="2"/>
    <x v="1"/>
    <n v="137.47"/>
    <n v="234.63"/>
    <n v="28"/>
    <n v="6569.6399999999994"/>
    <n v="2720.48"/>
    <x v="1"/>
    <x v="1"/>
    <x v="1"/>
  </r>
  <r>
    <d v="2023-01-07T00:00:00"/>
    <x v="0"/>
    <x v="0"/>
    <x v="0"/>
    <x v="0"/>
    <x v="0"/>
    <n v="2019.9"/>
    <n v="2116.7399999999998"/>
    <n v="6"/>
    <n v="12700.439999999999"/>
    <n v="581.03999999999814"/>
    <x v="1"/>
    <x v="2"/>
    <x v="0"/>
  </r>
  <r>
    <d v="2023-01-07T00:00:00"/>
    <x v="0"/>
    <x v="0"/>
    <x v="4"/>
    <x v="3"/>
    <x v="3"/>
    <n v="1768.6"/>
    <n v="2152.1999999999998"/>
    <n v="6"/>
    <n v="12913.199999999999"/>
    <n v="2301.5999999999995"/>
    <x v="1"/>
    <x v="1"/>
    <x v="1"/>
  </r>
  <r>
    <d v="2023-01-07T00:00:00"/>
    <x v="0"/>
    <x v="0"/>
    <x v="0"/>
    <x v="2"/>
    <x v="3"/>
    <n v="472.08"/>
    <n v="842.46"/>
    <n v="16"/>
    <n v="13479.36"/>
    <n v="5926.0800000000008"/>
    <x v="1"/>
    <x v="0"/>
    <x v="1"/>
  </r>
  <r>
    <d v="2023-01-08T00:00:00"/>
    <x v="0"/>
    <x v="0"/>
    <x v="0"/>
    <x v="1"/>
    <x v="2"/>
    <n v="1054.1199999999999"/>
    <n v="1175.21999999999"/>
    <n v="4"/>
    <n v="4700.8799999999601"/>
    <n v="484.39999999996053"/>
    <x v="0"/>
    <x v="1"/>
    <x v="1"/>
  </r>
  <r>
    <d v="2023-01-08T00:00:00"/>
    <x v="0"/>
    <x v="0"/>
    <x v="2"/>
    <x v="3"/>
    <x v="3"/>
    <n v="864.77"/>
    <n v="1170.1599999999901"/>
    <n v="36"/>
    <n v="42125.759999999646"/>
    <n v="10994.039999999644"/>
    <x v="0"/>
    <x v="0"/>
    <x v="1"/>
  </r>
  <r>
    <d v="2023-01-09T00:00:00"/>
    <x v="0"/>
    <x v="0"/>
    <x v="1"/>
    <x v="0"/>
    <x v="0"/>
    <n v="4965.07"/>
    <n v="5243.13"/>
    <n v="41"/>
    <n v="214968.33000000002"/>
    <n v="11400.460000000017"/>
    <x v="1"/>
    <x v="2"/>
    <x v="0"/>
  </r>
  <r>
    <d v="2023-01-09T00:00:00"/>
    <x v="0"/>
    <x v="0"/>
    <x v="2"/>
    <x v="1"/>
    <x v="1"/>
    <n v="2598.1799999999998"/>
    <n v="3042.73"/>
    <n v="23"/>
    <n v="69982.789999999994"/>
    <n v="10224.650000000005"/>
    <x v="0"/>
    <x v="2"/>
    <x v="0"/>
  </r>
  <r>
    <d v="2023-01-09T00:00:00"/>
    <x v="0"/>
    <x v="0"/>
    <x v="1"/>
    <x v="0"/>
    <x v="1"/>
    <n v="639.16"/>
    <n v="746.28"/>
    <n v="12"/>
    <n v="8955.36"/>
    <n v="1285.44"/>
    <x v="0"/>
    <x v="1"/>
    <x v="1"/>
  </r>
  <r>
    <d v="2023-01-09T00:00:00"/>
    <x v="0"/>
    <x v="0"/>
    <x v="4"/>
    <x v="0"/>
    <x v="0"/>
    <n v="2588.54"/>
    <n v="2872.8"/>
    <n v="48"/>
    <n v="137894.40000000002"/>
    <n v="13644.48000000001"/>
    <x v="1"/>
    <x v="0"/>
    <x v="0"/>
  </r>
  <r>
    <d v="2023-01-09T00:00:00"/>
    <x v="0"/>
    <x v="0"/>
    <x v="1"/>
    <x v="0"/>
    <x v="2"/>
    <n v="210.63"/>
    <n v="533.57999999999902"/>
    <n v="48"/>
    <n v="25611.839999999953"/>
    <n v="15501.599999999953"/>
    <x v="1"/>
    <x v="1"/>
    <x v="0"/>
  </r>
  <r>
    <d v="2023-01-10T00:00:00"/>
    <x v="0"/>
    <x v="0"/>
    <x v="0"/>
    <x v="1"/>
    <x v="1"/>
    <n v="2654.11"/>
    <n v="2929.32"/>
    <n v="40"/>
    <n v="117172.8"/>
    <n v="11008.400000000001"/>
    <x v="0"/>
    <x v="0"/>
    <x v="0"/>
  </r>
  <r>
    <d v="2023-01-10T00:00:00"/>
    <x v="0"/>
    <x v="0"/>
    <x v="0"/>
    <x v="0"/>
    <x v="2"/>
    <n v="1933.39"/>
    <n v="1982.92"/>
    <n v="25"/>
    <n v="49573"/>
    <n v="1238.2499999999993"/>
    <x v="1"/>
    <x v="1"/>
    <x v="0"/>
  </r>
  <r>
    <d v="2023-01-11T00:00:00"/>
    <x v="0"/>
    <x v="0"/>
    <x v="0"/>
    <x v="0"/>
    <x v="3"/>
    <n v="4762.87"/>
    <n v="5050.46"/>
    <n v="5"/>
    <n v="25252.3"/>
    <n v="1437.9500000000007"/>
    <x v="1"/>
    <x v="0"/>
    <x v="1"/>
  </r>
  <r>
    <d v="2023-01-11T00:00:00"/>
    <x v="0"/>
    <x v="0"/>
    <x v="1"/>
    <x v="2"/>
    <x v="2"/>
    <n v="4984.21"/>
    <n v="5184.6400000000003"/>
    <n v="34"/>
    <n v="176277.76000000001"/>
    <n v="6814.6200000000099"/>
    <x v="1"/>
    <x v="0"/>
    <x v="0"/>
  </r>
  <r>
    <d v="2023-01-11T00:00:00"/>
    <x v="0"/>
    <x v="0"/>
    <x v="0"/>
    <x v="0"/>
    <x v="2"/>
    <n v="585.37"/>
    <n v="970.49"/>
    <n v="35"/>
    <n v="33967.15"/>
    <n v="13479.2"/>
    <x v="0"/>
    <x v="1"/>
    <x v="1"/>
  </r>
  <r>
    <d v="2023-01-11T00:00:00"/>
    <x v="0"/>
    <x v="0"/>
    <x v="3"/>
    <x v="3"/>
    <x v="0"/>
    <n v="576.74"/>
    <n v="648.29"/>
    <n v="21"/>
    <n v="13614.09"/>
    <n v="1502.549999999999"/>
    <x v="0"/>
    <x v="1"/>
    <x v="0"/>
  </r>
  <r>
    <d v="2023-01-11T00:00:00"/>
    <x v="0"/>
    <x v="0"/>
    <x v="4"/>
    <x v="1"/>
    <x v="3"/>
    <n v="3884.13"/>
    <n v="3915.41"/>
    <n v="11"/>
    <n v="43069.509999999995"/>
    <n v="344.0799999999972"/>
    <x v="0"/>
    <x v="0"/>
    <x v="0"/>
  </r>
  <r>
    <d v="2023-01-12T00:00:00"/>
    <x v="0"/>
    <x v="0"/>
    <x v="4"/>
    <x v="2"/>
    <x v="2"/>
    <n v="1312.71"/>
    <n v="1352.11"/>
    <n v="35"/>
    <n v="47323.85"/>
    <n v="1378.9999999999952"/>
    <x v="0"/>
    <x v="1"/>
    <x v="1"/>
  </r>
  <r>
    <d v="2023-01-12T00:00:00"/>
    <x v="0"/>
    <x v="0"/>
    <x v="0"/>
    <x v="3"/>
    <x v="3"/>
    <n v="2312.4499999999998"/>
    <n v="2504.6"/>
    <n v="13"/>
    <n v="32559.8"/>
    <n v="2497.9500000000012"/>
    <x v="0"/>
    <x v="1"/>
    <x v="0"/>
  </r>
  <r>
    <d v="2023-01-12T00:00:00"/>
    <x v="0"/>
    <x v="0"/>
    <x v="1"/>
    <x v="1"/>
    <x v="1"/>
    <n v="3777.94"/>
    <n v="4188.66"/>
    <n v="35"/>
    <n v="146603.1"/>
    <n v="14375.199999999993"/>
    <x v="1"/>
    <x v="1"/>
    <x v="0"/>
  </r>
  <r>
    <d v="2023-01-12T00:00:00"/>
    <x v="0"/>
    <x v="0"/>
    <x v="1"/>
    <x v="3"/>
    <x v="0"/>
    <n v="702.44"/>
    <n v="1067.6600000000001"/>
    <n v="47"/>
    <n v="50180.020000000004"/>
    <n v="17165.34"/>
    <x v="1"/>
    <x v="0"/>
    <x v="1"/>
  </r>
  <r>
    <d v="2023-01-12T00:00:00"/>
    <x v="0"/>
    <x v="0"/>
    <x v="0"/>
    <x v="3"/>
    <x v="3"/>
    <n v="4548.88"/>
    <n v="4853.41"/>
    <n v="36"/>
    <n v="174722.76"/>
    <n v="10963.079999999991"/>
    <x v="0"/>
    <x v="2"/>
    <x v="1"/>
  </r>
  <r>
    <d v="2023-01-12T00:00:00"/>
    <x v="0"/>
    <x v="0"/>
    <x v="1"/>
    <x v="0"/>
    <x v="3"/>
    <n v="3724.38"/>
    <n v="3988.7"/>
    <n v="21"/>
    <n v="83762.7"/>
    <n v="5550.7199999999939"/>
    <x v="1"/>
    <x v="1"/>
    <x v="1"/>
  </r>
  <r>
    <d v="2023-01-12T00:00:00"/>
    <x v="0"/>
    <x v="0"/>
    <x v="0"/>
    <x v="2"/>
    <x v="3"/>
    <n v="3443.98"/>
    <n v="3820.3"/>
    <n v="38"/>
    <n v="145171.4"/>
    <n v="14300.160000000007"/>
    <x v="0"/>
    <x v="2"/>
    <x v="1"/>
  </r>
  <r>
    <d v="2023-01-13T00:00:00"/>
    <x v="0"/>
    <x v="0"/>
    <x v="4"/>
    <x v="3"/>
    <x v="1"/>
    <n v="3126.52"/>
    <n v="3465.79"/>
    <n v="39"/>
    <n v="135165.81"/>
    <n v="13231.529999999999"/>
    <x v="1"/>
    <x v="0"/>
    <x v="0"/>
  </r>
  <r>
    <d v="2023-01-13T00:00:00"/>
    <x v="0"/>
    <x v="0"/>
    <x v="4"/>
    <x v="3"/>
    <x v="0"/>
    <n v="2382.98"/>
    <n v="2839.73"/>
    <n v="17"/>
    <n v="48275.41"/>
    <n v="7764.75"/>
    <x v="0"/>
    <x v="1"/>
    <x v="1"/>
  </r>
  <r>
    <d v="2023-01-14T00:00:00"/>
    <x v="0"/>
    <x v="0"/>
    <x v="3"/>
    <x v="1"/>
    <x v="0"/>
    <n v="2693.99"/>
    <n v="3045.9399999999901"/>
    <n v="45"/>
    <n v="137067.29999999955"/>
    <n v="15837.749999999562"/>
    <x v="1"/>
    <x v="0"/>
    <x v="1"/>
  </r>
  <r>
    <d v="2023-01-14T00:00:00"/>
    <x v="0"/>
    <x v="0"/>
    <x v="4"/>
    <x v="2"/>
    <x v="0"/>
    <n v="1345.67"/>
    <n v="1367.76"/>
    <n v="24"/>
    <n v="32826.239999999998"/>
    <n v="530.15999999999804"/>
    <x v="1"/>
    <x v="1"/>
    <x v="0"/>
  </r>
  <r>
    <d v="2023-01-14T00:00:00"/>
    <x v="0"/>
    <x v="0"/>
    <x v="1"/>
    <x v="2"/>
    <x v="3"/>
    <n v="2361.7399999999998"/>
    <n v="2584.35"/>
    <n v="25"/>
    <n v="64608.75"/>
    <n v="5565.2500000000036"/>
    <x v="0"/>
    <x v="0"/>
    <x v="0"/>
  </r>
  <r>
    <d v="2023-01-14T00:00:00"/>
    <x v="0"/>
    <x v="0"/>
    <x v="3"/>
    <x v="3"/>
    <x v="3"/>
    <n v="4987.71"/>
    <n v="4998.78"/>
    <n v="6"/>
    <n v="29992.68"/>
    <n v="66.419999999998254"/>
    <x v="0"/>
    <x v="0"/>
    <x v="1"/>
  </r>
  <r>
    <d v="2023-01-15T00:00:00"/>
    <x v="0"/>
    <x v="0"/>
    <x v="0"/>
    <x v="0"/>
    <x v="1"/>
    <n v="2594.42"/>
    <n v="3081.04"/>
    <n v="6"/>
    <n v="18486.239999999998"/>
    <n v="2919.7199999999993"/>
    <x v="0"/>
    <x v="1"/>
    <x v="1"/>
  </r>
  <r>
    <d v="2023-01-15T00:00:00"/>
    <x v="0"/>
    <x v="0"/>
    <x v="3"/>
    <x v="2"/>
    <x v="3"/>
    <n v="149.11000000000001"/>
    <n v="477.67"/>
    <n v="26"/>
    <n v="12419.42"/>
    <n v="8542.56"/>
    <x v="0"/>
    <x v="0"/>
    <x v="1"/>
  </r>
  <r>
    <d v="2023-01-15T00:00:00"/>
    <x v="0"/>
    <x v="0"/>
    <x v="1"/>
    <x v="0"/>
    <x v="1"/>
    <n v="342.3"/>
    <n v="768.06"/>
    <n v="19"/>
    <n v="14593.14"/>
    <n v="8089.4399999999987"/>
    <x v="0"/>
    <x v="2"/>
    <x v="0"/>
  </r>
  <r>
    <d v="2023-01-15T00:00:00"/>
    <x v="0"/>
    <x v="0"/>
    <x v="2"/>
    <x v="1"/>
    <x v="1"/>
    <n v="2172.38"/>
    <n v="2367.11"/>
    <n v="46"/>
    <n v="108887.06000000001"/>
    <n v="8957.5800000000017"/>
    <x v="1"/>
    <x v="0"/>
    <x v="1"/>
  </r>
  <r>
    <d v="2023-01-15T00:00:00"/>
    <x v="0"/>
    <x v="0"/>
    <x v="3"/>
    <x v="0"/>
    <x v="1"/>
    <n v="4470.91"/>
    <n v="4695.54"/>
    <n v="45"/>
    <n v="211299.3"/>
    <n v="10108.350000000006"/>
    <x v="0"/>
    <x v="0"/>
    <x v="1"/>
  </r>
  <r>
    <d v="2023-01-16T00:00:00"/>
    <x v="0"/>
    <x v="0"/>
    <x v="0"/>
    <x v="3"/>
    <x v="0"/>
    <n v="3356.62"/>
    <n v="3759.0099999999902"/>
    <n v="20"/>
    <n v="75180.199999999808"/>
    <n v="8047.7999999998065"/>
    <x v="0"/>
    <x v="2"/>
    <x v="1"/>
  </r>
  <r>
    <d v="2023-01-16T00:00:00"/>
    <x v="0"/>
    <x v="0"/>
    <x v="4"/>
    <x v="0"/>
    <x v="1"/>
    <n v="366.31"/>
    <n v="492.68"/>
    <n v="13"/>
    <n v="6404.84"/>
    <n v="1642.81"/>
    <x v="1"/>
    <x v="2"/>
    <x v="1"/>
  </r>
  <r>
    <d v="2023-01-17T00:00:00"/>
    <x v="0"/>
    <x v="0"/>
    <x v="2"/>
    <x v="2"/>
    <x v="1"/>
    <n v="2278.67"/>
    <n v="2476.8000000000002"/>
    <n v="12"/>
    <n v="29721.600000000002"/>
    <n v="2377.5600000000013"/>
    <x v="1"/>
    <x v="0"/>
    <x v="1"/>
  </r>
  <r>
    <d v="2023-01-17T00:00:00"/>
    <x v="0"/>
    <x v="0"/>
    <x v="0"/>
    <x v="2"/>
    <x v="2"/>
    <n v="2863.74"/>
    <n v="2953.91"/>
    <n v="21"/>
    <n v="62032.11"/>
    <n v="1893.5700000000015"/>
    <x v="1"/>
    <x v="1"/>
    <x v="1"/>
  </r>
  <r>
    <d v="2023-01-17T00:00:00"/>
    <x v="0"/>
    <x v="0"/>
    <x v="1"/>
    <x v="0"/>
    <x v="2"/>
    <n v="2719"/>
    <n v="3133.55"/>
    <n v="31"/>
    <n v="97140.05"/>
    <n v="12851.050000000007"/>
    <x v="0"/>
    <x v="1"/>
    <x v="1"/>
  </r>
  <r>
    <d v="2023-01-17T00:00:00"/>
    <x v="0"/>
    <x v="0"/>
    <x v="3"/>
    <x v="1"/>
    <x v="2"/>
    <n v="1190.4100000000001"/>
    <n v="1582.89"/>
    <n v="3"/>
    <n v="4748.67"/>
    <n v="1177.44"/>
    <x v="1"/>
    <x v="2"/>
    <x v="1"/>
  </r>
  <r>
    <d v="2023-01-17T00:00:00"/>
    <x v="0"/>
    <x v="0"/>
    <x v="1"/>
    <x v="1"/>
    <x v="0"/>
    <n v="1964.15"/>
    <n v="2211.17"/>
    <n v="16"/>
    <n v="35378.720000000001"/>
    <n v="3952.3199999999997"/>
    <x v="0"/>
    <x v="1"/>
    <x v="0"/>
  </r>
  <r>
    <d v="2023-01-17T00:00:00"/>
    <x v="0"/>
    <x v="0"/>
    <x v="3"/>
    <x v="1"/>
    <x v="1"/>
    <n v="4035.33"/>
    <n v="4211.25"/>
    <n v="47"/>
    <n v="197928.75"/>
    <n v="8268.2400000000034"/>
    <x v="0"/>
    <x v="1"/>
    <x v="0"/>
  </r>
  <r>
    <d v="2023-01-18T00:00:00"/>
    <x v="0"/>
    <x v="0"/>
    <x v="1"/>
    <x v="3"/>
    <x v="2"/>
    <n v="1763.67"/>
    <n v="1983.82"/>
    <n v="44"/>
    <n v="87288.08"/>
    <n v="9686.5999999999949"/>
    <x v="1"/>
    <x v="2"/>
    <x v="0"/>
  </r>
  <r>
    <d v="2023-01-19T00:00:00"/>
    <x v="0"/>
    <x v="0"/>
    <x v="3"/>
    <x v="2"/>
    <x v="0"/>
    <n v="4310.95"/>
    <n v="4723.2"/>
    <n v="7"/>
    <n v="33062.400000000001"/>
    <n v="2885.75"/>
    <x v="0"/>
    <x v="2"/>
    <x v="1"/>
  </r>
  <r>
    <d v="2023-01-20T00:00:00"/>
    <x v="0"/>
    <x v="0"/>
    <x v="3"/>
    <x v="3"/>
    <x v="0"/>
    <n v="3410.49"/>
    <n v="3481.72"/>
    <n v="29"/>
    <n v="100969.87999999999"/>
    <n v="2065.6700000000005"/>
    <x v="1"/>
    <x v="1"/>
    <x v="1"/>
  </r>
  <r>
    <d v="2023-01-20T00:00:00"/>
    <x v="0"/>
    <x v="0"/>
    <x v="0"/>
    <x v="3"/>
    <x v="0"/>
    <n v="4052.42"/>
    <n v="4199.3"/>
    <n v="43"/>
    <n v="180569.9"/>
    <n v="6315.8400000000047"/>
    <x v="1"/>
    <x v="1"/>
    <x v="1"/>
  </r>
  <r>
    <d v="2023-01-20T00:00:00"/>
    <x v="0"/>
    <x v="0"/>
    <x v="2"/>
    <x v="2"/>
    <x v="1"/>
    <n v="2443.5700000000002"/>
    <n v="2943.31"/>
    <n v="42"/>
    <n v="123619.02"/>
    <n v="20989.079999999991"/>
    <x v="1"/>
    <x v="0"/>
    <x v="0"/>
  </r>
  <r>
    <d v="2023-01-20T00:00:00"/>
    <x v="0"/>
    <x v="0"/>
    <x v="1"/>
    <x v="3"/>
    <x v="2"/>
    <n v="4624.16"/>
    <n v="4731.9799999999996"/>
    <n v="40"/>
    <n v="189279.19999999998"/>
    <n v="4312.7999999999884"/>
    <x v="1"/>
    <x v="1"/>
    <x v="1"/>
  </r>
  <r>
    <d v="2023-01-21T00:00:00"/>
    <x v="0"/>
    <x v="0"/>
    <x v="1"/>
    <x v="0"/>
    <x v="1"/>
    <n v="1792.05"/>
    <n v="2091.23"/>
    <n v="3"/>
    <n v="6273.6900000000005"/>
    <n v="897.54000000000019"/>
    <x v="0"/>
    <x v="0"/>
    <x v="1"/>
  </r>
  <r>
    <d v="2023-01-22T00:00:00"/>
    <x v="0"/>
    <x v="0"/>
    <x v="4"/>
    <x v="1"/>
    <x v="2"/>
    <n v="4353.29"/>
    <n v="4405.8"/>
    <n v="29"/>
    <n v="127768.20000000001"/>
    <n v="1522.7900000000063"/>
    <x v="1"/>
    <x v="1"/>
    <x v="0"/>
  </r>
  <r>
    <d v="2023-01-22T00:00:00"/>
    <x v="0"/>
    <x v="0"/>
    <x v="4"/>
    <x v="0"/>
    <x v="1"/>
    <n v="3771.38"/>
    <n v="4234.92"/>
    <n v="28"/>
    <n v="118577.76000000001"/>
    <n v="12979.119999999999"/>
    <x v="1"/>
    <x v="2"/>
    <x v="1"/>
  </r>
  <r>
    <d v="2023-01-22T00:00:00"/>
    <x v="0"/>
    <x v="0"/>
    <x v="3"/>
    <x v="3"/>
    <x v="3"/>
    <n v="2577.08"/>
    <n v="2961.56"/>
    <n v="46"/>
    <n v="136231.76"/>
    <n v="17686.080000000002"/>
    <x v="0"/>
    <x v="0"/>
    <x v="0"/>
  </r>
  <r>
    <d v="2023-01-23T00:00:00"/>
    <x v="0"/>
    <x v="0"/>
    <x v="2"/>
    <x v="0"/>
    <x v="1"/>
    <n v="1140.6199999999999"/>
    <n v="1258.6299999999901"/>
    <n v="20"/>
    <n v="25172.599999999802"/>
    <n v="2360.1999999998043"/>
    <x v="0"/>
    <x v="1"/>
    <x v="0"/>
  </r>
  <r>
    <d v="2023-01-23T00:00:00"/>
    <x v="0"/>
    <x v="0"/>
    <x v="3"/>
    <x v="0"/>
    <x v="0"/>
    <n v="2790.11"/>
    <n v="3192.37"/>
    <n v="40"/>
    <n v="127694.79999999999"/>
    <n v="16090.399999999991"/>
    <x v="0"/>
    <x v="1"/>
    <x v="0"/>
  </r>
  <r>
    <d v="2023-01-23T00:00:00"/>
    <x v="0"/>
    <x v="0"/>
    <x v="1"/>
    <x v="3"/>
    <x v="3"/>
    <n v="1074.6199999999999"/>
    <n v="1382.4299999999901"/>
    <n v="25"/>
    <n v="34560.749999999753"/>
    <n v="7695.2499999997544"/>
    <x v="0"/>
    <x v="2"/>
    <x v="1"/>
  </r>
  <r>
    <d v="2023-01-24T00:00:00"/>
    <x v="0"/>
    <x v="0"/>
    <x v="0"/>
    <x v="0"/>
    <x v="2"/>
    <n v="927.89"/>
    <n v="1399.09"/>
    <n v="27"/>
    <n v="37775.43"/>
    <n v="12722.399999999998"/>
    <x v="0"/>
    <x v="2"/>
    <x v="0"/>
  </r>
  <r>
    <d v="2023-01-24T00:00:00"/>
    <x v="0"/>
    <x v="0"/>
    <x v="3"/>
    <x v="3"/>
    <x v="2"/>
    <n v="4200.08"/>
    <n v="4647.28"/>
    <n v="22"/>
    <n v="102240.15999999999"/>
    <n v="9838.399999999996"/>
    <x v="0"/>
    <x v="0"/>
    <x v="0"/>
  </r>
  <r>
    <d v="2023-01-25T00:00:00"/>
    <x v="0"/>
    <x v="0"/>
    <x v="0"/>
    <x v="0"/>
    <x v="2"/>
    <n v="1324.52"/>
    <n v="1510.3"/>
    <n v="22"/>
    <n v="33226.6"/>
    <n v="4087.1599999999994"/>
    <x v="0"/>
    <x v="0"/>
    <x v="1"/>
  </r>
  <r>
    <d v="2023-01-25T00:00:00"/>
    <x v="0"/>
    <x v="0"/>
    <x v="0"/>
    <x v="1"/>
    <x v="2"/>
    <n v="1655.43"/>
    <n v="2001.08"/>
    <n v="7"/>
    <n v="14007.56"/>
    <n v="2419.5499999999993"/>
    <x v="1"/>
    <x v="1"/>
    <x v="0"/>
  </r>
  <r>
    <d v="2023-01-25T00:00:00"/>
    <x v="0"/>
    <x v="0"/>
    <x v="3"/>
    <x v="3"/>
    <x v="1"/>
    <n v="4440.8599999999997"/>
    <n v="4506.8099999999904"/>
    <n v="38"/>
    <n v="171258.77999999962"/>
    <n v="2506.0999999996475"/>
    <x v="0"/>
    <x v="1"/>
    <x v="0"/>
  </r>
  <r>
    <d v="2023-01-25T00:00:00"/>
    <x v="0"/>
    <x v="0"/>
    <x v="2"/>
    <x v="3"/>
    <x v="0"/>
    <n v="1167.9100000000001"/>
    <n v="1547.26"/>
    <n v="34"/>
    <n v="52606.84"/>
    <n v="12897.899999999998"/>
    <x v="1"/>
    <x v="1"/>
    <x v="0"/>
  </r>
  <r>
    <d v="2023-01-25T00:00:00"/>
    <x v="0"/>
    <x v="0"/>
    <x v="1"/>
    <x v="1"/>
    <x v="0"/>
    <n v="4190.26"/>
    <n v="4645.3500000000004"/>
    <n v="17"/>
    <n v="78970.950000000012"/>
    <n v="7736.5300000000025"/>
    <x v="1"/>
    <x v="2"/>
    <x v="1"/>
  </r>
  <r>
    <d v="2023-01-25T00:00:00"/>
    <x v="0"/>
    <x v="0"/>
    <x v="1"/>
    <x v="2"/>
    <x v="0"/>
    <n v="4809"/>
    <n v="4967.4399999999996"/>
    <n v="27"/>
    <n v="134120.87999999998"/>
    <n v="4277.8799999999892"/>
    <x v="1"/>
    <x v="0"/>
    <x v="0"/>
  </r>
  <r>
    <d v="2023-01-26T00:00:00"/>
    <x v="0"/>
    <x v="0"/>
    <x v="4"/>
    <x v="3"/>
    <x v="0"/>
    <n v="2414.8200000000002"/>
    <n v="2519.0700000000002"/>
    <n v="11"/>
    <n v="27709.77"/>
    <n v="1146.75"/>
    <x v="0"/>
    <x v="0"/>
    <x v="0"/>
  </r>
  <r>
    <d v="2023-01-26T00:00:00"/>
    <x v="0"/>
    <x v="0"/>
    <x v="2"/>
    <x v="0"/>
    <x v="0"/>
    <n v="1991.72"/>
    <n v="2329.37"/>
    <n v="36"/>
    <n v="83857.319999999992"/>
    <n v="12155.399999999994"/>
    <x v="1"/>
    <x v="2"/>
    <x v="1"/>
  </r>
  <r>
    <d v="2023-01-26T00:00:00"/>
    <x v="0"/>
    <x v="0"/>
    <x v="2"/>
    <x v="3"/>
    <x v="3"/>
    <n v="4093.61"/>
    <n v="4117.88"/>
    <n v="5"/>
    <n v="20589.400000000001"/>
    <n v="121.34999999999991"/>
    <x v="0"/>
    <x v="2"/>
    <x v="1"/>
  </r>
  <r>
    <d v="2023-01-27T00:00:00"/>
    <x v="0"/>
    <x v="0"/>
    <x v="0"/>
    <x v="0"/>
    <x v="3"/>
    <n v="3386.49"/>
    <n v="3430.99"/>
    <n v="41"/>
    <n v="140670.59"/>
    <n v="1824.5"/>
    <x v="1"/>
    <x v="1"/>
    <x v="1"/>
  </r>
  <r>
    <d v="2023-01-27T00:00:00"/>
    <x v="0"/>
    <x v="0"/>
    <x v="3"/>
    <x v="3"/>
    <x v="3"/>
    <n v="2729.75"/>
    <n v="3081.5"/>
    <n v="38"/>
    <n v="117097"/>
    <n v="13366.5"/>
    <x v="1"/>
    <x v="1"/>
    <x v="0"/>
  </r>
  <r>
    <d v="2023-01-27T00:00:00"/>
    <x v="0"/>
    <x v="0"/>
    <x v="3"/>
    <x v="1"/>
    <x v="2"/>
    <n v="2035.68"/>
    <n v="2079.64"/>
    <n v="12"/>
    <n v="24955.68"/>
    <n v="527.51999999999771"/>
    <x v="0"/>
    <x v="0"/>
    <x v="0"/>
  </r>
  <r>
    <d v="2023-01-27T00:00:00"/>
    <x v="0"/>
    <x v="0"/>
    <x v="2"/>
    <x v="2"/>
    <x v="1"/>
    <n v="3697.29"/>
    <n v="4003.96"/>
    <n v="26"/>
    <n v="104102.96"/>
    <n v="7973.4200000000019"/>
    <x v="1"/>
    <x v="0"/>
    <x v="0"/>
  </r>
  <r>
    <d v="2023-01-29T00:00:00"/>
    <x v="0"/>
    <x v="0"/>
    <x v="1"/>
    <x v="2"/>
    <x v="1"/>
    <n v="3765.46"/>
    <n v="3860.56"/>
    <n v="13"/>
    <n v="50187.28"/>
    <n v="1236.2999999999988"/>
    <x v="0"/>
    <x v="0"/>
    <x v="1"/>
  </r>
  <r>
    <d v="2023-01-29T00:00:00"/>
    <x v="0"/>
    <x v="0"/>
    <x v="0"/>
    <x v="2"/>
    <x v="0"/>
    <n v="3745.69"/>
    <n v="3883.77"/>
    <n v="16"/>
    <n v="62140.32"/>
    <n v="2209.2799999999988"/>
    <x v="0"/>
    <x v="1"/>
    <x v="1"/>
  </r>
  <r>
    <d v="2023-01-29T00:00:00"/>
    <x v="0"/>
    <x v="0"/>
    <x v="1"/>
    <x v="1"/>
    <x v="2"/>
    <n v="1233.1199999999999"/>
    <n v="1697.1899999999901"/>
    <n v="19"/>
    <n v="32246.609999999811"/>
    <n v="8817.3299999998126"/>
    <x v="1"/>
    <x v="2"/>
    <x v="0"/>
  </r>
  <r>
    <d v="2023-01-29T00:00:00"/>
    <x v="0"/>
    <x v="0"/>
    <x v="2"/>
    <x v="2"/>
    <x v="3"/>
    <n v="4660.82"/>
    <n v="5011.4299999999903"/>
    <n v="25"/>
    <n v="125285.74999999975"/>
    <n v="8765.2499999997635"/>
    <x v="1"/>
    <x v="1"/>
    <x v="0"/>
  </r>
  <r>
    <d v="2023-01-29T00:00:00"/>
    <x v="0"/>
    <x v="0"/>
    <x v="0"/>
    <x v="0"/>
    <x v="3"/>
    <n v="2403.54"/>
    <n v="2850.56"/>
    <n v="25"/>
    <n v="71264"/>
    <n v="11175.5"/>
    <x v="1"/>
    <x v="1"/>
    <x v="0"/>
  </r>
  <r>
    <d v="2023-01-29T00:00:00"/>
    <x v="0"/>
    <x v="0"/>
    <x v="3"/>
    <x v="1"/>
    <x v="0"/>
    <n v="2684.5"/>
    <n v="2913.78"/>
    <n v="13"/>
    <n v="37879.14"/>
    <n v="2980.6400000000026"/>
    <x v="1"/>
    <x v="2"/>
    <x v="1"/>
  </r>
  <r>
    <d v="2023-01-31T00:00:00"/>
    <x v="0"/>
    <x v="0"/>
    <x v="4"/>
    <x v="0"/>
    <x v="3"/>
    <n v="635.20000000000005"/>
    <n v="814.14"/>
    <n v="11"/>
    <n v="8955.5399999999991"/>
    <n v="1968.3399999999992"/>
    <x v="0"/>
    <x v="0"/>
    <x v="0"/>
  </r>
  <r>
    <d v="2023-01-31T00:00:00"/>
    <x v="0"/>
    <x v="0"/>
    <x v="1"/>
    <x v="0"/>
    <x v="3"/>
    <n v="4995.3"/>
    <n v="5165.09"/>
    <n v="36"/>
    <n v="185943.24"/>
    <n v="6112.4399999999987"/>
    <x v="0"/>
    <x v="0"/>
    <x v="0"/>
  </r>
  <r>
    <d v="2023-02-01T00:00:00"/>
    <x v="1"/>
    <x v="0"/>
    <x v="0"/>
    <x v="0"/>
    <x v="1"/>
    <n v="2760.21"/>
    <n v="3219.58"/>
    <n v="18"/>
    <n v="57952.44"/>
    <n v="8268.659999999998"/>
    <x v="1"/>
    <x v="1"/>
    <x v="1"/>
  </r>
  <r>
    <d v="2023-02-01T00:00:00"/>
    <x v="1"/>
    <x v="0"/>
    <x v="4"/>
    <x v="2"/>
    <x v="2"/>
    <n v="3955.19"/>
    <n v="4393.68"/>
    <n v="27"/>
    <n v="118629.36000000002"/>
    <n v="11839.230000000007"/>
    <x v="0"/>
    <x v="2"/>
    <x v="0"/>
  </r>
  <r>
    <d v="2023-02-02T00:00:00"/>
    <x v="1"/>
    <x v="0"/>
    <x v="4"/>
    <x v="3"/>
    <x v="2"/>
    <n v="1724.24"/>
    <n v="2036.2"/>
    <n v="31"/>
    <n v="63122.200000000004"/>
    <n v="9670.760000000002"/>
    <x v="1"/>
    <x v="0"/>
    <x v="0"/>
  </r>
  <r>
    <d v="2023-02-03T00:00:00"/>
    <x v="1"/>
    <x v="0"/>
    <x v="3"/>
    <x v="0"/>
    <x v="0"/>
    <n v="4625.33"/>
    <n v="4642.83"/>
    <n v="42"/>
    <n v="194998.86"/>
    <n v="735"/>
    <x v="1"/>
    <x v="2"/>
    <x v="0"/>
  </r>
  <r>
    <d v="2023-02-03T00:00:00"/>
    <x v="1"/>
    <x v="0"/>
    <x v="1"/>
    <x v="0"/>
    <x v="3"/>
    <n v="4483.8500000000004"/>
    <n v="4795.42"/>
    <n v="5"/>
    <n v="23977.1"/>
    <n v="1557.8499999999985"/>
    <x v="0"/>
    <x v="0"/>
    <x v="0"/>
  </r>
  <r>
    <d v="2023-02-03T00:00:00"/>
    <x v="1"/>
    <x v="0"/>
    <x v="3"/>
    <x v="0"/>
    <x v="1"/>
    <n v="152.75"/>
    <n v="267.22000000000003"/>
    <n v="18"/>
    <n v="4809.9600000000009"/>
    <n v="2060.4600000000005"/>
    <x v="0"/>
    <x v="0"/>
    <x v="0"/>
  </r>
  <r>
    <d v="2023-02-04T00:00:00"/>
    <x v="1"/>
    <x v="0"/>
    <x v="4"/>
    <x v="2"/>
    <x v="2"/>
    <n v="1265.48"/>
    <n v="1715.83"/>
    <n v="19"/>
    <n v="32600.769999999997"/>
    <n v="8556.6499999999978"/>
    <x v="1"/>
    <x v="2"/>
    <x v="1"/>
  </r>
  <r>
    <d v="2023-02-04T00:00:00"/>
    <x v="1"/>
    <x v="0"/>
    <x v="1"/>
    <x v="0"/>
    <x v="1"/>
    <n v="523.02"/>
    <n v="686.25"/>
    <n v="7"/>
    <n v="4803.75"/>
    <n v="1142.6100000000001"/>
    <x v="0"/>
    <x v="0"/>
    <x v="0"/>
  </r>
  <r>
    <d v="2023-02-05T00:00:00"/>
    <x v="1"/>
    <x v="0"/>
    <x v="2"/>
    <x v="3"/>
    <x v="1"/>
    <n v="2590.29"/>
    <n v="2925.86"/>
    <n v="49"/>
    <n v="143367.14000000001"/>
    <n v="16442.930000000008"/>
    <x v="0"/>
    <x v="0"/>
    <x v="1"/>
  </r>
  <r>
    <d v="2023-02-05T00:00:00"/>
    <x v="1"/>
    <x v="0"/>
    <x v="2"/>
    <x v="0"/>
    <x v="2"/>
    <n v="4723.83"/>
    <n v="5186.1899999999996"/>
    <n v="42"/>
    <n v="217819.97999999998"/>
    <n v="19419.119999999988"/>
    <x v="0"/>
    <x v="2"/>
    <x v="0"/>
  </r>
  <r>
    <d v="2023-02-05T00:00:00"/>
    <x v="1"/>
    <x v="0"/>
    <x v="1"/>
    <x v="1"/>
    <x v="2"/>
    <n v="1141.52"/>
    <n v="1550.19"/>
    <n v="9"/>
    <n v="13951.710000000001"/>
    <n v="3678.0300000000007"/>
    <x v="1"/>
    <x v="2"/>
    <x v="1"/>
  </r>
  <r>
    <d v="2023-02-06T00:00:00"/>
    <x v="1"/>
    <x v="0"/>
    <x v="3"/>
    <x v="2"/>
    <x v="2"/>
    <n v="68.33"/>
    <n v="219.07999999999899"/>
    <n v="34"/>
    <n v="7448.7199999999657"/>
    <n v="5125.4999999999654"/>
    <x v="1"/>
    <x v="2"/>
    <x v="0"/>
  </r>
  <r>
    <d v="2023-02-06T00:00:00"/>
    <x v="1"/>
    <x v="0"/>
    <x v="0"/>
    <x v="2"/>
    <x v="3"/>
    <n v="1153.9000000000001"/>
    <n v="1485.34"/>
    <n v="45"/>
    <n v="66840.3"/>
    <n v="14914.799999999992"/>
    <x v="1"/>
    <x v="2"/>
    <x v="1"/>
  </r>
  <r>
    <d v="2023-02-06T00:00:00"/>
    <x v="1"/>
    <x v="0"/>
    <x v="1"/>
    <x v="3"/>
    <x v="2"/>
    <n v="4266.3599999999997"/>
    <n v="4331.4299999999903"/>
    <n v="26"/>
    <n v="112617.17999999975"/>
    <n v="1691.819999999756"/>
    <x v="0"/>
    <x v="2"/>
    <x v="1"/>
  </r>
  <r>
    <d v="2023-02-07T00:00:00"/>
    <x v="1"/>
    <x v="0"/>
    <x v="1"/>
    <x v="2"/>
    <x v="3"/>
    <n v="728.41"/>
    <n v="1094.92"/>
    <n v="2"/>
    <n v="2189.84"/>
    <n v="733.02000000000021"/>
    <x v="1"/>
    <x v="0"/>
    <x v="1"/>
  </r>
  <r>
    <d v="2023-02-07T00:00:00"/>
    <x v="1"/>
    <x v="0"/>
    <x v="3"/>
    <x v="2"/>
    <x v="3"/>
    <n v="999.09"/>
    <n v="1271.99"/>
    <n v="3"/>
    <n v="3815.9700000000003"/>
    <n v="818.69999999999993"/>
    <x v="1"/>
    <x v="2"/>
    <x v="0"/>
  </r>
  <r>
    <d v="2023-02-07T00:00:00"/>
    <x v="1"/>
    <x v="0"/>
    <x v="3"/>
    <x v="3"/>
    <x v="3"/>
    <n v="3640.17"/>
    <n v="4002.63"/>
    <n v="26"/>
    <n v="104068.38"/>
    <n v="9423.9600000000009"/>
    <x v="1"/>
    <x v="2"/>
    <x v="1"/>
  </r>
  <r>
    <d v="2023-02-07T00:00:00"/>
    <x v="1"/>
    <x v="0"/>
    <x v="0"/>
    <x v="2"/>
    <x v="0"/>
    <n v="2427.46"/>
    <n v="2743.09"/>
    <n v="12"/>
    <n v="32917.08"/>
    <n v="3787.5600000000013"/>
    <x v="1"/>
    <x v="2"/>
    <x v="1"/>
  </r>
  <r>
    <d v="2023-02-07T00:00:00"/>
    <x v="1"/>
    <x v="0"/>
    <x v="2"/>
    <x v="3"/>
    <x v="1"/>
    <n v="2782.08"/>
    <n v="2879.24"/>
    <n v="41"/>
    <n v="118048.84"/>
    <n v="3983.559999999994"/>
    <x v="1"/>
    <x v="1"/>
    <x v="0"/>
  </r>
  <r>
    <d v="2023-02-08T00:00:00"/>
    <x v="1"/>
    <x v="0"/>
    <x v="1"/>
    <x v="3"/>
    <x v="2"/>
    <n v="2644.77"/>
    <n v="2684.83"/>
    <n v="23"/>
    <n v="61751.09"/>
    <n v="921.37999999999874"/>
    <x v="1"/>
    <x v="0"/>
    <x v="0"/>
  </r>
  <r>
    <d v="2023-02-08T00:00:00"/>
    <x v="1"/>
    <x v="0"/>
    <x v="4"/>
    <x v="2"/>
    <x v="2"/>
    <n v="1748.11"/>
    <n v="2220.9"/>
    <n v="20"/>
    <n v="44418"/>
    <n v="9455.8000000000029"/>
    <x v="1"/>
    <x v="2"/>
    <x v="1"/>
  </r>
  <r>
    <d v="2023-02-08T00:00:00"/>
    <x v="1"/>
    <x v="0"/>
    <x v="0"/>
    <x v="0"/>
    <x v="2"/>
    <n v="4232.8100000000004"/>
    <n v="4345.25"/>
    <n v="39"/>
    <n v="169464.75"/>
    <n v="4385.1599999999844"/>
    <x v="0"/>
    <x v="1"/>
    <x v="0"/>
  </r>
  <r>
    <d v="2023-02-08T00:00:00"/>
    <x v="1"/>
    <x v="0"/>
    <x v="1"/>
    <x v="2"/>
    <x v="0"/>
    <n v="3197.76"/>
    <n v="3572.61"/>
    <n v="27"/>
    <n v="96460.47"/>
    <n v="10120.949999999997"/>
    <x v="0"/>
    <x v="2"/>
    <x v="0"/>
  </r>
  <r>
    <d v="2023-02-08T00:00:00"/>
    <x v="1"/>
    <x v="0"/>
    <x v="4"/>
    <x v="1"/>
    <x v="1"/>
    <n v="3026.85"/>
    <n v="3183.58"/>
    <n v="49"/>
    <n v="155995.41999999998"/>
    <n v="7679.77"/>
    <x v="0"/>
    <x v="0"/>
    <x v="1"/>
  </r>
  <r>
    <d v="2023-02-08T00:00:00"/>
    <x v="1"/>
    <x v="0"/>
    <x v="1"/>
    <x v="0"/>
    <x v="0"/>
    <n v="3542.18"/>
    <n v="3578.49"/>
    <n v="44"/>
    <n v="157453.56"/>
    <n v="1597.6399999999976"/>
    <x v="0"/>
    <x v="0"/>
    <x v="0"/>
  </r>
  <r>
    <d v="2023-02-09T00:00:00"/>
    <x v="1"/>
    <x v="0"/>
    <x v="1"/>
    <x v="3"/>
    <x v="2"/>
    <n v="184.05"/>
    <n v="675.91"/>
    <n v="29"/>
    <n v="19601.39"/>
    <n v="14263.939999999999"/>
    <x v="0"/>
    <x v="0"/>
    <x v="1"/>
  </r>
  <r>
    <d v="2023-02-09T00:00:00"/>
    <x v="1"/>
    <x v="0"/>
    <x v="4"/>
    <x v="3"/>
    <x v="1"/>
    <n v="3899.7"/>
    <n v="4228.18"/>
    <n v="16"/>
    <n v="67650.880000000005"/>
    <n v="5255.6800000000076"/>
    <x v="1"/>
    <x v="0"/>
    <x v="1"/>
  </r>
  <r>
    <d v="2023-02-09T00:00:00"/>
    <x v="1"/>
    <x v="0"/>
    <x v="2"/>
    <x v="1"/>
    <x v="3"/>
    <n v="2014.11"/>
    <n v="2056.35"/>
    <n v="20"/>
    <n v="41127"/>
    <n v="844.80000000000018"/>
    <x v="0"/>
    <x v="1"/>
    <x v="1"/>
  </r>
  <r>
    <d v="2023-02-09T00:00:00"/>
    <x v="1"/>
    <x v="0"/>
    <x v="1"/>
    <x v="3"/>
    <x v="1"/>
    <n v="1216.1600000000001"/>
    <n v="1295.3699999999999"/>
    <n v="3"/>
    <n v="3886.1099999999997"/>
    <n v="237.62999999999943"/>
    <x v="1"/>
    <x v="0"/>
    <x v="1"/>
  </r>
  <r>
    <d v="2023-02-09T00:00:00"/>
    <x v="1"/>
    <x v="0"/>
    <x v="2"/>
    <x v="2"/>
    <x v="1"/>
    <n v="2037.41"/>
    <n v="2238.65"/>
    <n v="34"/>
    <n v="76114.100000000006"/>
    <n v="6842.16"/>
    <x v="1"/>
    <x v="2"/>
    <x v="0"/>
  </r>
  <r>
    <d v="2023-02-09T00:00:00"/>
    <x v="1"/>
    <x v="0"/>
    <x v="4"/>
    <x v="1"/>
    <x v="0"/>
    <n v="3586.58"/>
    <n v="4068.43"/>
    <n v="14"/>
    <n v="56958.02"/>
    <n v="6745.8999999999987"/>
    <x v="1"/>
    <x v="2"/>
    <x v="0"/>
  </r>
  <r>
    <d v="2023-02-10T00:00:00"/>
    <x v="1"/>
    <x v="0"/>
    <x v="2"/>
    <x v="3"/>
    <x v="0"/>
    <n v="1493.88"/>
    <n v="1781.09"/>
    <n v="13"/>
    <n v="23154.17"/>
    <n v="3733.7299999999977"/>
    <x v="1"/>
    <x v="0"/>
    <x v="1"/>
  </r>
  <r>
    <d v="2023-02-10T00:00:00"/>
    <x v="1"/>
    <x v="0"/>
    <x v="3"/>
    <x v="2"/>
    <x v="1"/>
    <n v="1080.1199999999999"/>
    <n v="1424.1699999999901"/>
    <n v="42"/>
    <n v="59815.139999999585"/>
    <n v="14450.099999999587"/>
    <x v="1"/>
    <x v="0"/>
    <x v="0"/>
  </r>
  <r>
    <d v="2023-02-10T00:00:00"/>
    <x v="1"/>
    <x v="0"/>
    <x v="3"/>
    <x v="3"/>
    <x v="1"/>
    <n v="3681.53"/>
    <n v="4076.96"/>
    <n v="47"/>
    <n v="191617.12"/>
    <n v="18585.209999999992"/>
    <x v="0"/>
    <x v="0"/>
    <x v="1"/>
  </r>
  <r>
    <d v="2023-02-11T00:00:00"/>
    <x v="1"/>
    <x v="0"/>
    <x v="2"/>
    <x v="2"/>
    <x v="3"/>
    <n v="2257.48"/>
    <n v="2747.81"/>
    <n v="44"/>
    <n v="120903.64"/>
    <n v="21574.519999999997"/>
    <x v="0"/>
    <x v="0"/>
    <x v="0"/>
  </r>
  <r>
    <d v="2023-02-11T00:00:00"/>
    <x v="1"/>
    <x v="0"/>
    <x v="1"/>
    <x v="2"/>
    <x v="3"/>
    <n v="900.79"/>
    <n v="1106.51"/>
    <n v="32"/>
    <n v="35408.32"/>
    <n v="6583.0400000000009"/>
    <x v="1"/>
    <x v="0"/>
    <x v="0"/>
  </r>
  <r>
    <d v="2023-02-11T00:00:00"/>
    <x v="1"/>
    <x v="0"/>
    <x v="4"/>
    <x v="3"/>
    <x v="0"/>
    <n v="2521.0300000000002"/>
    <n v="2766.05"/>
    <n v="24"/>
    <n v="66385.200000000012"/>
    <n v="5880.48"/>
    <x v="0"/>
    <x v="1"/>
    <x v="1"/>
  </r>
  <r>
    <d v="2023-02-11T00:00:00"/>
    <x v="1"/>
    <x v="0"/>
    <x v="0"/>
    <x v="1"/>
    <x v="2"/>
    <n v="667"/>
    <n v="718.72"/>
    <n v="26"/>
    <n v="18686.72"/>
    <n v="1344.7200000000007"/>
    <x v="1"/>
    <x v="0"/>
    <x v="1"/>
  </r>
  <r>
    <d v="2023-02-11T00:00:00"/>
    <x v="1"/>
    <x v="0"/>
    <x v="1"/>
    <x v="2"/>
    <x v="1"/>
    <n v="710.06"/>
    <n v="851.349999999999"/>
    <n v="48"/>
    <n v="40864.799999999952"/>
    <n v="6781.9199999999546"/>
    <x v="0"/>
    <x v="1"/>
    <x v="0"/>
  </r>
  <r>
    <d v="2023-02-13T00:00:00"/>
    <x v="1"/>
    <x v="0"/>
    <x v="0"/>
    <x v="0"/>
    <x v="0"/>
    <n v="604.08000000000004"/>
    <n v="624.71"/>
    <n v="17"/>
    <n v="10620.07"/>
    <n v="350.70999999999992"/>
    <x v="1"/>
    <x v="1"/>
    <x v="1"/>
  </r>
  <r>
    <d v="2023-02-14T00:00:00"/>
    <x v="1"/>
    <x v="0"/>
    <x v="2"/>
    <x v="2"/>
    <x v="2"/>
    <n v="2221.31"/>
    <n v="2494.48"/>
    <n v="12"/>
    <n v="29933.760000000002"/>
    <n v="3278.0400000000009"/>
    <x v="0"/>
    <x v="1"/>
    <x v="0"/>
  </r>
  <r>
    <d v="2023-02-14T00:00:00"/>
    <x v="1"/>
    <x v="0"/>
    <x v="2"/>
    <x v="1"/>
    <x v="0"/>
    <n v="1517.86"/>
    <n v="1948.46"/>
    <n v="32"/>
    <n v="62350.720000000001"/>
    <n v="13779.200000000004"/>
    <x v="1"/>
    <x v="2"/>
    <x v="0"/>
  </r>
  <r>
    <d v="2023-02-15T00:00:00"/>
    <x v="1"/>
    <x v="0"/>
    <x v="2"/>
    <x v="1"/>
    <x v="0"/>
    <n v="1588.04"/>
    <n v="1703.6399999999901"/>
    <n v="45"/>
    <n v="76663.799999999552"/>
    <n v="5201.9999999995562"/>
    <x v="1"/>
    <x v="1"/>
    <x v="1"/>
  </r>
  <r>
    <d v="2023-02-15T00:00:00"/>
    <x v="1"/>
    <x v="0"/>
    <x v="4"/>
    <x v="1"/>
    <x v="1"/>
    <n v="1138.32"/>
    <n v="1266.25"/>
    <n v="31"/>
    <n v="39253.75"/>
    <n v="3965.8300000000017"/>
    <x v="0"/>
    <x v="0"/>
    <x v="1"/>
  </r>
  <r>
    <d v="2023-02-15T00:00:00"/>
    <x v="1"/>
    <x v="0"/>
    <x v="3"/>
    <x v="2"/>
    <x v="1"/>
    <n v="1304.23"/>
    <n v="1705.71"/>
    <n v="1"/>
    <n v="1705.71"/>
    <n v="401.48"/>
    <x v="0"/>
    <x v="0"/>
    <x v="1"/>
  </r>
  <r>
    <d v="2023-02-15T00:00:00"/>
    <x v="1"/>
    <x v="0"/>
    <x v="1"/>
    <x v="1"/>
    <x v="3"/>
    <n v="3450.36"/>
    <n v="3557.38"/>
    <n v="47"/>
    <n v="167196.86000000002"/>
    <n v="5029.9399999999987"/>
    <x v="1"/>
    <x v="2"/>
    <x v="0"/>
  </r>
  <r>
    <d v="2023-02-16T00:00:00"/>
    <x v="1"/>
    <x v="0"/>
    <x v="2"/>
    <x v="3"/>
    <x v="1"/>
    <n v="2265.38"/>
    <n v="2429.9299999999998"/>
    <n v="47"/>
    <n v="114206.70999999999"/>
    <n v="7733.8499999999876"/>
    <x v="0"/>
    <x v="1"/>
    <x v="0"/>
  </r>
  <r>
    <d v="2023-02-16T00:00:00"/>
    <x v="1"/>
    <x v="0"/>
    <x v="3"/>
    <x v="3"/>
    <x v="2"/>
    <n v="1969.09"/>
    <n v="2241.96"/>
    <n v="24"/>
    <n v="53807.040000000001"/>
    <n v="6548.8800000000028"/>
    <x v="0"/>
    <x v="2"/>
    <x v="0"/>
  </r>
  <r>
    <d v="2023-02-16T00:00:00"/>
    <x v="1"/>
    <x v="0"/>
    <x v="2"/>
    <x v="1"/>
    <x v="3"/>
    <n v="3373.46"/>
    <n v="3454.76"/>
    <n v="22"/>
    <n v="76004.72"/>
    <n v="1788.600000000004"/>
    <x v="0"/>
    <x v="1"/>
    <x v="1"/>
  </r>
  <r>
    <d v="2023-02-16T00:00:00"/>
    <x v="1"/>
    <x v="0"/>
    <x v="0"/>
    <x v="2"/>
    <x v="1"/>
    <n v="1582.86"/>
    <n v="1942.55"/>
    <n v="11"/>
    <n v="21368.05"/>
    <n v="3956.5900000000006"/>
    <x v="1"/>
    <x v="2"/>
    <x v="1"/>
  </r>
  <r>
    <d v="2023-02-18T00:00:00"/>
    <x v="1"/>
    <x v="0"/>
    <x v="2"/>
    <x v="2"/>
    <x v="0"/>
    <n v="939.02"/>
    <n v="1286.92"/>
    <n v="27"/>
    <n v="34746.840000000004"/>
    <n v="9393.3000000000029"/>
    <x v="0"/>
    <x v="2"/>
    <x v="1"/>
  </r>
  <r>
    <d v="2023-02-18T00:00:00"/>
    <x v="1"/>
    <x v="0"/>
    <x v="4"/>
    <x v="1"/>
    <x v="0"/>
    <n v="1921.07"/>
    <n v="2289.27"/>
    <n v="34"/>
    <n v="77835.179999999993"/>
    <n v="12518.800000000001"/>
    <x v="0"/>
    <x v="1"/>
    <x v="1"/>
  </r>
  <r>
    <d v="2023-02-19T00:00:00"/>
    <x v="1"/>
    <x v="0"/>
    <x v="4"/>
    <x v="3"/>
    <x v="2"/>
    <n v="4974.1400000000003"/>
    <n v="5227.93"/>
    <n v="45"/>
    <n v="235256.85"/>
    <n v="11420.55"/>
    <x v="1"/>
    <x v="1"/>
    <x v="0"/>
  </r>
  <r>
    <d v="2023-02-19T00:00:00"/>
    <x v="1"/>
    <x v="0"/>
    <x v="2"/>
    <x v="2"/>
    <x v="3"/>
    <n v="465.61"/>
    <n v="812.91"/>
    <n v="35"/>
    <n v="28451.85"/>
    <n v="12155.499999999998"/>
    <x v="1"/>
    <x v="1"/>
    <x v="0"/>
  </r>
  <r>
    <d v="2023-02-20T00:00:00"/>
    <x v="1"/>
    <x v="0"/>
    <x v="1"/>
    <x v="2"/>
    <x v="3"/>
    <n v="508.94"/>
    <n v="557.69000000000005"/>
    <n v="26"/>
    <n v="14499.940000000002"/>
    <n v="1267.5000000000014"/>
    <x v="1"/>
    <x v="2"/>
    <x v="1"/>
  </r>
  <r>
    <d v="2023-02-20T00:00:00"/>
    <x v="1"/>
    <x v="0"/>
    <x v="1"/>
    <x v="0"/>
    <x v="1"/>
    <n v="102.23"/>
    <n v="167.12"/>
    <n v="16"/>
    <n v="2673.92"/>
    <n v="1038.24"/>
    <x v="1"/>
    <x v="2"/>
    <x v="1"/>
  </r>
  <r>
    <d v="2023-02-21T00:00:00"/>
    <x v="1"/>
    <x v="0"/>
    <x v="4"/>
    <x v="3"/>
    <x v="2"/>
    <n v="3570.24"/>
    <n v="3712.25"/>
    <n v="31"/>
    <n v="115079.75"/>
    <n v="4402.3100000000068"/>
    <x v="1"/>
    <x v="2"/>
    <x v="0"/>
  </r>
  <r>
    <d v="2023-02-22T00:00:00"/>
    <x v="1"/>
    <x v="0"/>
    <x v="4"/>
    <x v="1"/>
    <x v="0"/>
    <n v="2551.56"/>
    <n v="2841.68"/>
    <n v="46"/>
    <n v="130717.28"/>
    <n v="13345.519999999995"/>
    <x v="1"/>
    <x v="1"/>
    <x v="1"/>
  </r>
  <r>
    <d v="2023-02-23T00:00:00"/>
    <x v="1"/>
    <x v="0"/>
    <x v="3"/>
    <x v="2"/>
    <x v="3"/>
    <n v="4535.8599999999997"/>
    <n v="4641.41"/>
    <n v="47"/>
    <n v="218146.27"/>
    <n v="4960.8500000000085"/>
    <x v="1"/>
    <x v="2"/>
    <x v="1"/>
  </r>
  <r>
    <d v="2023-02-23T00:00:00"/>
    <x v="1"/>
    <x v="0"/>
    <x v="0"/>
    <x v="0"/>
    <x v="1"/>
    <n v="2116.09"/>
    <n v="2472.98"/>
    <n v="43"/>
    <n v="106338.14"/>
    <n v="15346.269999999995"/>
    <x v="1"/>
    <x v="2"/>
    <x v="1"/>
  </r>
  <r>
    <d v="2023-02-24T00:00:00"/>
    <x v="1"/>
    <x v="0"/>
    <x v="0"/>
    <x v="2"/>
    <x v="2"/>
    <n v="2269.3200000000002"/>
    <n v="2365.35"/>
    <n v="22"/>
    <n v="52037.7"/>
    <n v="2112.6599999999944"/>
    <x v="1"/>
    <x v="0"/>
    <x v="1"/>
  </r>
  <r>
    <d v="2023-02-24T00:00:00"/>
    <x v="1"/>
    <x v="0"/>
    <x v="4"/>
    <x v="0"/>
    <x v="3"/>
    <n v="2124.7199999999998"/>
    <n v="2188.66"/>
    <n v="43"/>
    <n v="94112.37999999999"/>
    <n v="2749.4200000000023"/>
    <x v="0"/>
    <x v="2"/>
    <x v="1"/>
  </r>
  <r>
    <d v="2023-02-24T00:00:00"/>
    <x v="1"/>
    <x v="0"/>
    <x v="3"/>
    <x v="0"/>
    <x v="0"/>
    <n v="3619.61"/>
    <n v="3651.42"/>
    <n v="22"/>
    <n v="80331.240000000005"/>
    <n v="699.8199999999988"/>
    <x v="0"/>
    <x v="1"/>
    <x v="0"/>
  </r>
  <r>
    <d v="2023-02-24T00:00:00"/>
    <x v="1"/>
    <x v="0"/>
    <x v="3"/>
    <x v="2"/>
    <x v="1"/>
    <n v="4122.38"/>
    <n v="4358.78"/>
    <n v="7"/>
    <n v="30511.46"/>
    <n v="1654.7999999999975"/>
    <x v="0"/>
    <x v="1"/>
    <x v="1"/>
  </r>
  <r>
    <d v="2023-02-24T00:00:00"/>
    <x v="1"/>
    <x v="0"/>
    <x v="2"/>
    <x v="3"/>
    <x v="0"/>
    <n v="2610.19"/>
    <n v="2682.53"/>
    <n v="35"/>
    <n v="93888.55"/>
    <n v="2531.9000000000051"/>
    <x v="1"/>
    <x v="0"/>
    <x v="1"/>
  </r>
  <r>
    <d v="2023-02-25T00:00:00"/>
    <x v="1"/>
    <x v="0"/>
    <x v="0"/>
    <x v="3"/>
    <x v="3"/>
    <n v="2757.06"/>
    <n v="3023.97"/>
    <n v="31"/>
    <n v="93743.069999999992"/>
    <n v="8274.2099999999955"/>
    <x v="0"/>
    <x v="0"/>
    <x v="0"/>
  </r>
  <r>
    <d v="2023-02-26T00:00:00"/>
    <x v="1"/>
    <x v="0"/>
    <x v="3"/>
    <x v="2"/>
    <x v="2"/>
    <n v="4934.1000000000004"/>
    <n v="5191.0200000000004"/>
    <n v="5"/>
    <n v="25955.100000000002"/>
    <n v="1284.6000000000004"/>
    <x v="1"/>
    <x v="1"/>
    <x v="0"/>
  </r>
  <r>
    <d v="2023-02-27T00:00:00"/>
    <x v="1"/>
    <x v="0"/>
    <x v="4"/>
    <x v="2"/>
    <x v="0"/>
    <n v="3617.59"/>
    <n v="4003.5"/>
    <n v="20"/>
    <n v="80070"/>
    <n v="7718.1999999999971"/>
    <x v="1"/>
    <x v="2"/>
    <x v="1"/>
  </r>
  <r>
    <d v="2023-02-27T00:00:00"/>
    <x v="1"/>
    <x v="0"/>
    <x v="0"/>
    <x v="2"/>
    <x v="1"/>
    <n v="3325.96"/>
    <n v="3781.4"/>
    <n v="45"/>
    <n v="170163"/>
    <n v="20494.800000000003"/>
    <x v="0"/>
    <x v="2"/>
    <x v="0"/>
  </r>
  <r>
    <d v="2023-02-28T00:00:00"/>
    <x v="1"/>
    <x v="0"/>
    <x v="1"/>
    <x v="3"/>
    <x v="1"/>
    <n v="3967.25"/>
    <n v="4272.92"/>
    <n v="43"/>
    <n v="183735.56"/>
    <n v="13143.810000000003"/>
    <x v="1"/>
    <x v="2"/>
    <x v="0"/>
  </r>
  <r>
    <d v="2023-02-28T00:00:00"/>
    <x v="1"/>
    <x v="0"/>
    <x v="2"/>
    <x v="3"/>
    <x v="3"/>
    <n v="3831.09"/>
    <n v="3908.37"/>
    <n v="33"/>
    <n v="128976.20999999999"/>
    <n v="2550.2399999999916"/>
    <x v="1"/>
    <x v="0"/>
    <x v="1"/>
  </r>
  <r>
    <d v="2023-02-28T00:00:00"/>
    <x v="1"/>
    <x v="0"/>
    <x v="3"/>
    <x v="3"/>
    <x v="2"/>
    <n v="859.59"/>
    <n v="884.51"/>
    <n v="14"/>
    <n v="12383.14"/>
    <n v="348.87999999999943"/>
    <x v="1"/>
    <x v="1"/>
    <x v="0"/>
  </r>
  <r>
    <d v="2023-02-28T00:00:00"/>
    <x v="1"/>
    <x v="0"/>
    <x v="2"/>
    <x v="2"/>
    <x v="0"/>
    <n v="2958.75"/>
    <n v="3177.64"/>
    <n v="3"/>
    <n v="9532.92"/>
    <n v="656.66999999999962"/>
    <x v="0"/>
    <x v="0"/>
    <x v="0"/>
  </r>
  <r>
    <d v="2023-02-28T00:00:00"/>
    <x v="1"/>
    <x v="0"/>
    <x v="0"/>
    <x v="0"/>
    <x v="2"/>
    <n v="1555.41"/>
    <n v="1609.94"/>
    <n v="37"/>
    <n v="59567.78"/>
    <n v="2017.609999999999"/>
    <x v="0"/>
    <x v="2"/>
    <x v="0"/>
  </r>
  <r>
    <d v="2023-02-28T00:00:00"/>
    <x v="1"/>
    <x v="0"/>
    <x v="4"/>
    <x v="2"/>
    <x v="1"/>
    <n v="4074.66"/>
    <n v="4261.1099999999997"/>
    <n v="15"/>
    <n v="63916.649999999994"/>
    <n v="2796.7499999999973"/>
    <x v="0"/>
    <x v="2"/>
    <x v="1"/>
  </r>
  <r>
    <d v="2023-03-01T00:00:00"/>
    <x v="2"/>
    <x v="0"/>
    <x v="2"/>
    <x v="3"/>
    <x v="0"/>
    <n v="2873.53"/>
    <n v="3108.3"/>
    <n v="28"/>
    <n v="87032.400000000009"/>
    <n v="6573.5599999999995"/>
    <x v="1"/>
    <x v="2"/>
    <x v="1"/>
  </r>
  <r>
    <d v="2023-03-01T00:00:00"/>
    <x v="2"/>
    <x v="0"/>
    <x v="1"/>
    <x v="2"/>
    <x v="3"/>
    <n v="2013.12"/>
    <n v="2321.87"/>
    <n v="45"/>
    <n v="104484.15"/>
    <n v="13893.75"/>
    <x v="1"/>
    <x v="1"/>
    <x v="1"/>
  </r>
  <r>
    <d v="2023-03-01T00:00:00"/>
    <x v="2"/>
    <x v="0"/>
    <x v="1"/>
    <x v="3"/>
    <x v="2"/>
    <n v="3288.39"/>
    <n v="3391.46"/>
    <n v="44"/>
    <n v="149224.24"/>
    <n v="4535.0800000000072"/>
    <x v="1"/>
    <x v="2"/>
    <x v="1"/>
  </r>
  <r>
    <d v="2023-03-02T00:00:00"/>
    <x v="2"/>
    <x v="0"/>
    <x v="2"/>
    <x v="2"/>
    <x v="3"/>
    <n v="4450.6099999999997"/>
    <n v="4663.3399999999901"/>
    <n v="39"/>
    <n v="181870.2599999996"/>
    <n v="8296.4699999996283"/>
    <x v="1"/>
    <x v="0"/>
    <x v="1"/>
  </r>
  <r>
    <d v="2023-03-02T00:00:00"/>
    <x v="2"/>
    <x v="0"/>
    <x v="0"/>
    <x v="2"/>
    <x v="3"/>
    <n v="3542.8"/>
    <n v="3603.02"/>
    <n v="39"/>
    <n v="140517.78"/>
    <n v="2348.5799999999922"/>
    <x v="0"/>
    <x v="0"/>
    <x v="0"/>
  </r>
  <r>
    <d v="2023-03-02T00:00:00"/>
    <x v="2"/>
    <x v="0"/>
    <x v="0"/>
    <x v="3"/>
    <x v="1"/>
    <n v="1307.22"/>
    <n v="1528.4"/>
    <n v="49"/>
    <n v="74891.600000000006"/>
    <n v="10837.820000000003"/>
    <x v="0"/>
    <x v="0"/>
    <x v="1"/>
  </r>
  <r>
    <d v="2023-03-03T00:00:00"/>
    <x v="2"/>
    <x v="0"/>
    <x v="0"/>
    <x v="2"/>
    <x v="3"/>
    <n v="2543.2600000000002"/>
    <n v="2637.91"/>
    <n v="1"/>
    <n v="2637.91"/>
    <n v="94.649999999999636"/>
    <x v="0"/>
    <x v="2"/>
    <x v="0"/>
  </r>
  <r>
    <d v="2023-03-03T00:00:00"/>
    <x v="2"/>
    <x v="0"/>
    <x v="3"/>
    <x v="2"/>
    <x v="2"/>
    <n v="2936.48"/>
    <n v="3096.64"/>
    <n v="47"/>
    <n v="145542.07999999999"/>
    <n v="7527.5199999999932"/>
    <x v="1"/>
    <x v="1"/>
    <x v="0"/>
  </r>
  <r>
    <d v="2023-03-03T00:00:00"/>
    <x v="2"/>
    <x v="0"/>
    <x v="1"/>
    <x v="0"/>
    <x v="1"/>
    <n v="4117.67"/>
    <n v="4280.0600000000004"/>
    <n v="4"/>
    <n v="17120.240000000002"/>
    <n v="649.56000000000131"/>
    <x v="0"/>
    <x v="1"/>
    <x v="0"/>
  </r>
  <r>
    <d v="2023-03-03T00:00:00"/>
    <x v="2"/>
    <x v="0"/>
    <x v="0"/>
    <x v="3"/>
    <x v="2"/>
    <n v="3591.05"/>
    <n v="3625.35"/>
    <n v="16"/>
    <n v="58005.599999999999"/>
    <n v="548.79999999999563"/>
    <x v="0"/>
    <x v="2"/>
    <x v="1"/>
  </r>
  <r>
    <d v="2023-03-04T00:00:00"/>
    <x v="2"/>
    <x v="0"/>
    <x v="2"/>
    <x v="3"/>
    <x v="0"/>
    <n v="3223.07"/>
    <n v="3590.83"/>
    <n v="1"/>
    <n v="3590.83"/>
    <n v="367.75999999999976"/>
    <x v="1"/>
    <x v="1"/>
    <x v="1"/>
  </r>
  <r>
    <d v="2023-03-04T00:00:00"/>
    <x v="2"/>
    <x v="0"/>
    <x v="3"/>
    <x v="2"/>
    <x v="0"/>
    <n v="362.38"/>
    <n v="753.81"/>
    <n v="14"/>
    <n v="10553.34"/>
    <n v="5480.0199999999995"/>
    <x v="0"/>
    <x v="0"/>
    <x v="1"/>
  </r>
  <r>
    <d v="2023-03-04T00:00:00"/>
    <x v="2"/>
    <x v="0"/>
    <x v="3"/>
    <x v="1"/>
    <x v="2"/>
    <n v="3653.66"/>
    <n v="3896.19"/>
    <n v="15"/>
    <n v="58442.85"/>
    <n v="3637.950000000003"/>
    <x v="1"/>
    <x v="2"/>
    <x v="1"/>
  </r>
  <r>
    <d v="2023-03-04T00:00:00"/>
    <x v="2"/>
    <x v="0"/>
    <x v="3"/>
    <x v="0"/>
    <x v="3"/>
    <n v="615.47"/>
    <n v="715.84"/>
    <n v="49"/>
    <n v="35076.160000000003"/>
    <n v="4918.13"/>
    <x v="0"/>
    <x v="2"/>
    <x v="1"/>
  </r>
  <r>
    <d v="2023-03-04T00:00:00"/>
    <x v="2"/>
    <x v="0"/>
    <x v="2"/>
    <x v="3"/>
    <x v="1"/>
    <n v="1531.2"/>
    <n v="1955.56"/>
    <n v="10"/>
    <n v="19555.599999999999"/>
    <n v="4243.5999999999985"/>
    <x v="1"/>
    <x v="2"/>
    <x v="0"/>
  </r>
  <r>
    <d v="2023-03-05T00:00:00"/>
    <x v="2"/>
    <x v="0"/>
    <x v="3"/>
    <x v="0"/>
    <x v="2"/>
    <n v="3318.92"/>
    <n v="3785.91"/>
    <n v="20"/>
    <n v="75718.2"/>
    <n v="9339.7999999999956"/>
    <x v="1"/>
    <x v="1"/>
    <x v="0"/>
  </r>
  <r>
    <d v="2023-03-05T00:00:00"/>
    <x v="2"/>
    <x v="0"/>
    <x v="0"/>
    <x v="0"/>
    <x v="1"/>
    <n v="2596.7199999999998"/>
    <n v="2715.0499999999902"/>
    <n v="48"/>
    <n v="130322.39999999953"/>
    <n v="5679.8399999995381"/>
    <x v="0"/>
    <x v="0"/>
    <x v="0"/>
  </r>
  <r>
    <d v="2023-03-06T00:00:00"/>
    <x v="2"/>
    <x v="0"/>
    <x v="4"/>
    <x v="1"/>
    <x v="2"/>
    <n v="1258.53"/>
    <n v="1624.8899999999901"/>
    <n v="35"/>
    <n v="56871.149999999652"/>
    <n v="12822.599999999655"/>
    <x v="1"/>
    <x v="2"/>
    <x v="0"/>
  </r>
  <r>
    <d v="2023-03-08T00:00:00"/>
    <x v="2"/>
    <x v="0"/>
    <x v="4"/>
    <x v="0"/>
    <x v="0"/>
    <n v="253.29"/>
    <n v="683.78"/>
    <n v="12"/>
    <n v="8205.36"/>
    <n v="5165.88"/>
    <x v="1"/>
    <x v="2"/>
    <x v="0"/>
  </r>
  <r>
    <d v="2023-03-08T00:00:00"/>
    <x v="2"/>
    <x v="0"/>
    <x v="3"/>
    <x v="3"/>
    <x v="2"/>
    <n v="3489.85"/>
    <n v="3842.5499999999902"/>
    <n v="28"/>
    <n v="107591.39999999973"/>
    <n v="9875.5999999997275"/>
    <x v="1"/>
    <x v="1"/>
    <x v="0"/>
  </r>
  <r>
    <d v="2023-03-09T00:00:00"/>
    <x v="2"/>
    <x v="0"/>
    <x v="0"/>
    <x v="1"/>
    <x v="1"/>
    <n v="2249.7600000000002"/>
    <n v="2598.4"/>
    <n v="40"/>
    <n v="103936"/>
    <n v="13945.599999999995"/>
    <x v="0"/>
    <x v="2"/>
    <x v="1"/>
  </r>
  <r>
    <d v="2023-03-10T00:00:00"/>
    <x v="2"/>
    <x v="0"/>
    <x v="0"/>
    <x v="1"/>
    <x v="3"/>
    <n v="2511.41"/>
    <n v="2848.3999999999901"/>
    <n v="21"/>
    <n v="59816.39999999979"/>
    <n v="7076.7899999997953"/>
    <x v="0"/>
    <x v="1"/>
    <x v="0"/>
  </r>
  <r>
    <d v="2023-03-10T00:00:00"/>
    <x v="2"/>
    <x v="0"/>
    <x v="1"/>
    <x v="3"/>
    <x v="0"/>
    <n v="2750.18"/>
    <n v="2882.85"/>
    <n v="13"/>
    <n v="37477.049999999996"/>
    <n v="1724.7100000000009"/>
    <x v="0"/>
    <x v="2"/>
    <x v="0"/>
  </r>
  <r>
    <d v="2023-03-10T00:00:00"/>
    <x v="2"/>
    <x v="0"/>
    <x v="4"/>
    <x v="3"/>
    <x v="2"/>
    <n v="4205.29"/>
    <n v="4382.3500000000004"/>
    <n v="42"/>
    <n v="184058.7"/>
    <n v="7436.5200000000168"/>
    <x v="1"/>
    <x v="0"/>
    <x v="1"/>
  </r>
  <r>
    <d v="2023-03-11T00:00:00"/>
    <x v="2"/>
    <x v="0"/>
    <x v="3"/>
    <x v="1"/>
    <x v="0"/>
    <n v="2543.36"/>
    <n v="2790.1"/>
    <n v="15"/>
    <n v="41851.5"/>
    <n v="3701.0999999999967"/>
    <x v="0"/>
    <x v="0"/>
    <x v="0"/>
  </r>
  <r>
    <d v="2023-03-13T00:00:00"/>
    <x v="2"/>
    <x v="0"/>
    <x v="4"/>
    <x v="0"/>
    <x v="3"/>
    <n v="2511.2800000000002"/>
    <n v="2658.06"/>
    <n v="39"/>
    <n v="103664.34"/>
    <n v="5724.4199999999901"/>
    <x v="1"/>
    <x v="2"/>
    <x v="1"/>
  </r>
  <r>
    <d v="2023-03-13T00:00:00"/>
    <x v="2"/>
    <x v="0"/>
    <x v="4"/>
    <x v="0"/>
    <x v="2"/>
    <n v="4741.59"/>
    <n v="4975.2299999999996"/>
    <n v="20"/>
    <n v="99504.599999999991"/>
    <n v="4672.7999999999884"/>
    <x v="1"/>
    <x v="2"/>
    <x v="0"/>
  </r>
  <r>
    <d v="2023-03-13T00:00:00"/>
    <x v="2"/>
    <x v="0"/>
    <x v="2"/>
    <x v="0"/>
    <x v="0"/>
    <n v="400.42"/>
    <n v="446.11"/>
    <n v="9"/>
    <n v="4014.9900000000002"/>
    <n v="411.21"/>
    <x v="1"/>
    <x v="1"/>
    <x v="1"/>
  </r>
  <r>
    <d v="2023-03-13T00:00:00"/>
    <x v="2"/>
    <x v="0"/>
    <x v="3"/>
    <x v="1"/>
    <x v="0"/>
    <n v="2594.71"/>
    <n v="2769.52"/>
    <n v="11"/>
    <n v="30464.720000000001"/>
    <n v="1922.9099999999994"/>
    <x v="0"/>
    <x v="1"/>
    <x v="1"/>
  </r>
  <r>
    <d v="2023-03-14T00:00:00"/>
    <x v="2"/>
    <x v="0"/>
    <x v="2"/>
    <x v="1"/>
    <x v="3"/>
    <n v="580.75"/>
    <n v="956.16"/>
    <n v="23"/>
    <n v="21991.68"/>
    <n v="8634.4299999999985"/>
    <x v="0"/>
    <x v="0"/>
    <x v="1"/>
  </r>
  <r>
    <d v="2023-03-14T00:00:00"/>
    <x v="2"/>
    <x v="0"/>
    <x v="4"/>
    <x v="3"/>
    <x v="3"/>
    <n v="3018.01"/>
    <n v="3418.19"/>
    <n v="24"/>
    <n v="82036.56"/>
    <n v="9604.3199999999961"/>
    <x v="0"/>
    <x v="1"/>
    <x v="1"/>
  </r>
  <r>
    <d v="2023-03-14T00:00:00"/>
    <x v="2"/>
    <x v="0"/>
    <x v="2"/>
    <x v="3"/>
    <x v="1"/>
    <n v="2310.8200000000002"/>
    <n v="2714.71"/>
    <n v="47"/>
    <n v="127591.37"/>
    <n v="18982.829999999994"/>
    <x v="1"/>
    <x v="0"/>
    <x v="1"/>
  </r>
  <r>
    <d v="2023-03-15T00:00:00"/>
    <x v="2"/>
    <x v="0"/>
    <x v="2"/>
    <x v="1"/>
    <x v="0"/>
    <n v="2211.9499999999998"/>
    <n v="2512.8399999999901"/>
    <n v="44"/>
    <n v="110564.95999999957"/>
    <n v="13239.159999999574"/>
    <x v="0"/>
    <x v="0"/>
    <x v="0"/>
  </r>
  <r>
    <d v="2023-03-16T00:00:00"/>
    <x v="2"/>
    <x v="0"/>
    <x v="0"/>
    <x v="0"/>
    <x v="1"/>
    <n v="2735.74"/>
    <n v="3181.22999999999"/>
    <n v="35"/>
    <n v="111343.04999999965"/>
    <n v="15592.149999999658"/>
    <x v="1"/>
    <x v="2"/>
    <x v="1"/>
  </r>
  <r>
    <d v="2023-03-16T00:00:00"/>
    <x v="2"/>
    <x v="0"/>
    <x v="2"/>
    <x v="2"/>
    <x v="1"/>
    <n v="4849.6000000000004"/>
    <n v="5166.72"/>
    <n v="45"/>
    <n v="232502.40000000002"/>
    <n v="14270.399999999994"/>
    <x v="0"/>
    <x v="2"/>
    <x v="0"/>
  </r>
  <r>
    <d v="2023-03-16T00:00:00"/>
    <x v="2"/>
    <x v="0"/>
    <x v="2"/>
    <x v="1"/>
    <x v="3"/>
    <n v="1958.49"/>
    <n v="2254.84"/>
    <n v="35"/>
    <n v="78919.400000000009"/>
    <n v="10372.250000000005"/>
    <x v="1"/>
    <x v="2"/>
    <x v="0"/>
  </r>
  <r>
    <d v="2023-03-16T00:00:00"/>
    <x v="2"/>
    <x v="0"/>
    <x v="2"/>
    <x v="1"/>
    <x v="1"/>
    <n v="741.48"/>
    <n v="878.09"/>
    <n v="11"/>
    <n v="9658.99"/>
    <n v="1502.71"/>
    <x v="1"/>
    <x v="0"/>
    <x v="1"/>
  </r>
  <r>
    <d v="2023-03-17T00:00:00"/>
    <x v="2"/>
    <x v="0"/>
    <x v="3"/>
    <x v="0"/>
    <x v="0"/>
    <n v="3780.91"/>
    <n v="3892.73"/>
    <n v="28"/>
    <n v="108996.44"/>
    <n v="3130.9600000000046"/>
    <x v="0"/>
    <x v="0"/>
    <x v="1"/>
  </r>
  <r>
    <d v="2023-03-17T00:00:00"/>
    <x v="2"/>
    <x v="0"/>
    <x v="0"/>
    <x v="1"/>
    <x v="2"/>
    <n v="2016.49"/>
    <n v="2338.66"/>
    <n v="46"/>
    <n v="107578.35999999999"/>
    <n v="14819.819999999992"/>
    <x v="0"/>
    <x v="1"/>
    <x v="1"/>
  </r>
  <r>
    <d v="2023-03-17T00:00:00"/>
    <x v="2"/>
    <x v="0"/>
    <x v="4"/>
    <x v="3"/>
    <x v="3"/>
    <n v="3335.53"/>
    <n v="3742.12"/>
    <n v="23"/>
    <n v="86068.76"/>
    <n v="9351.5699999999924"/>
    <x v="1"/>
    <x v="1"/>
    <x v="1"/>
  </r>
  <r>
    <d v="2023-03-18T00:00:00"/>
    <x v="2"/>
    <x v="0"/>
    <x v="2"/>
    <x v="1"/>
    <x v="3"/>
    <n v="688.98"/>
    <n v="863.81"/>
    <n v="4"/>
    <n v="3455.24"/>
    <n v="699.31999999999971"/>
    <x v="1"/>
    <x v="2"/>
    <x v="1"/>
  </r>
  <r>
    <d v="2023-03-18T00:00:00"/>
    <x v="2"/>
    <x v="0"/>
    <x v="0"/>
    <x v="1"/>
    <x v="1"/>
    <n v="1331.86"/>
    <n v="1758.98"/>
    <n v="43"/>
    <n v="75636.14"/>
    <n v="18366.160000000003"/>
    <x v="0"/>
    <x v="1"/>
    <x v="1"/>
  </r>
  <r>
    <d v="2023-03-19T00:00:00"/>
    <x v="2"/>
    <x v="0"/>
    <x v="0"/>
    <x v="2"/>
    <x v="3"/>
    <n v="1783.48"/>
    <n v="1931.56"/>
    <n v="19"/>
    <n v="36699.64"/>
    <n v="2813.5199999999986"/>
    <x v="0"/>
    <x v="1"/>
    <x v="1"/>
  </r>
  <r>
    <d v="2023-03-19T00:00:00"/>
    <x v="2"/>
    <x v="0"/>
    <x v="2"/>
    <x v="3"/>
    <x v="0"/>
    <n v="844.94"/>
    <n v="1225.6400000000001"/>
    <n v="2"/>
    <n v="2451.2800000000002"/>
    <n v="761.40000000000009"/>
    <x v="0"/>
    <x v="2"/>
    <x v="0"/>
  </r>
  <r>
    <d v="2023-03-19T00:00:00"/>
    <x v="2"/>
    <x v="0"/>
    <x v="3"/>
    <x v="1"/>
    <x v="0"/>
    <n v="2534.94"/>
    <n v="2755.56"/>
    <n v="9"/>
    <n v="24800.04"/>
    <n v="1985.579999999999"/>
    <x v="0"/>
    <x v="2"/>
    <x v="1"/>
  </r>
  <r>
    <d v="2023-03-20T00:00:00"/>
    <x v="2"/>
    <x v="0"/>
    <x v="3"/>
    <x v="3"/>
    <x v="1"/>
    <n v="4906.17"/>
    <n v="5107.43"/>
    <n v="2"/>
    <n v="10214.86"/>
    <n v="402.52000000000044"/>
    <x v="0"/>
    <x v="0"/>
    <x v="0"/>
  </r>
  <r>
    <d v="2023-03-20T00:00:00"/>
    <x v="2"/>
    <x v="0"/>
    <x v="3"/>
    <x v="3"/>
    <x v="2"/>
    <n v="4991.68"/>
    <n v="5296.65"/>
    <n v="19"/>
    <n v="100636.34999999999"/>
    <n v="5794.4299999999876"/>
    <x v="1"/>
    <x v="1"/>
    <x v="0"/>
  </r>
  <r>
    <d v="2023-03-21T00:00:00"/>
    <x v="2"/>
    <x v="0"/>
    <x v="3"/>
    <x v="3"/>
    <x v="1"/>
    <n v="2462.66"/>
    <n v="2908.0899999999901"/>
    <n v="29"/>
    <n v="84334.60999999971"/>
    <n v="12917.469999999717"/>
    <x v="1"/>
    <x v="2"/>
    <x v="0"/>
  </r>
  <r>
    <d v="2023-03-21T00:00:00"/>
    <x v="2"/>
    <x v="0"/>
    <x v="0"/>
    <x v="1"/>
    <x v="3"/>
    <n v="2890.95"/>
    <n v="3104.43"/>
    <n v="40"/>
    <n v="124177.2"/>
    <n v="8539.2000000000007"/>
    <x v="1"/>
    <x v="1"/>
    <x v="0"/>
  </r>
  <r>
    <d v="2023-03-22T00:00:00"/>
    <x v="2"/>
    <x v="0"/>
    <x v="4"/>
    <x v="3"/>
    <x v="0"/>
    <n v="2680.82"/>
    <n v="2771.02"/>
    <n v="34"/>
    <n v="94214.68"/>
    <n v="3066.7999999999938"/>
    <x v="1"/>
    <x v="1"/>
    <x v="0"/>
  </r>
  <r>
    <d v="2023-03-22T00:00:00"/>
    <x v="2"/>
    <x v="0"/>
    <x v="1"/>
    <x v="1"/>
    <x v="3"/>
    <n v="2759.16"/>
    <n v="2864.45"/>
    <n v="23"/>
    <n v="65882.349999999991"/>
    <n v="2421.6699999999992"/>
    <x v="0"/>
    <x v="2"/>
    <x v="1"/>
  </r>
  <r>
    <d v="2023-03-22T00:00:00"/>
    <x v="2"/>
    <x v="0"/>
    <x v="0"/>
    <x v="0"/>
    <x v="2"/>
    <n v="4885.9799999999996"/>
    <n v="4949.95"/>
    <n v="6"/>
    <n v="29699.699999999997"/>
    <n v="383.82000000000153"/>
    <x v="0"/>
    <x v="1"/>
    <x v="0"/>
  </r>
  <r>
    <d v="2023-03-23T00:00:00"/>
    <x v="2"/>
    <x v="0"/>
    <x v="0"/>
    <x v="3"/>
    <x v="0"/>
    <n v="3351.33"/>
    <n v="3711.47"/>
    <n v="32"/>
    <n v="118767.03999999999"/>
    <n v="11524.479999999996"/>
    <x v="1"/>
    <x v="0"/>
    <x v="1"/>
  </r>
  <r>
    <d v="2023-03-23T00:00:00"/>
    <x v="2"/>
    <x v="0"/>
    <x v="2"/>
    <x v="3"/>
    <x v="0"/>
    <n v="1300.03"/>
    <n v="1745.52"/>
    <n v="30"/>
    <n v="52365.599999999999"/>
    <n v="13364.7"/>
    <x v="1"/>
    <x v="0"/>
    <x v="1"/>
  </r>
  <r>
    <d v="2023-03-23T00:00:00"/>
    <x v="2"/>
    <x v="0"/>
    <x v="0"/>
    <x v="2"/>
    <x v="0"/>
    <n v="2396.6799999999998"/>
    <n v="2661.54"/>
    <n v="33"/>
    <n v="87830.819999999992"/>
    <n v="8740.3800000000047"/>
    <x v="1"/>
    <x v="1"/>
    <x v="0"/>
  </r>
  <r>
    <d v="2023-03-23T00:00:00"/>
    <x v="2"/>
    <x v="0"/>
    <x v="3"/>
    <x v="1"/>
    <x v="3"/>
    <n v="3070.47"/>
    <n v="3475.29"/>
    <n v="18"/>
    <n v="62555.22"/>
    <n v="7286.7600000000029"/>
    <x v="0"/>
    <x v="1"/>
    <x v="0"/>
  </r>
  <r>
    <d v="2023-03-24T00:00:00"/>
    <x v="2"/>
    <x v="0"/>
    <x v="1"/>
    <x v="3"/>
    <x v="2"/>
    <n v="637.37"/>
    <n v="692.71"/>
    <n v="13"/>
    <n v="9005.23"/>
    <n v="719.42000000000041"/>
    <x v="1"/>
    <x v="2"/>
    <x v="0"/>
  </r>
  <r>
    <d v="2023-03-25T00:00:00"/>
    <x v="2"/>
    <x v="0"/>
    <x v="3"/>
    <x v="2"/>
    <x v="0"/>
    <n v="1861.2"/>
    <n v="2075.35"/>
    <n v="14"/>
    <n v="29054.899999999998"/>
    <n v="2998.0999999999981"/>
    <x v="0"/>
    <x v="2"/>
    <x v="1"/>
  </r>
  <r>
    <d v="2023-03-25T00:00:00"/>
    <x v="2"/>
    <x v="0"/>
    <x v="0"/>
    <x v="3"/>
    <x v="2"/>
    <n v="558.70000000000005"/>
    <n v="1004.08"/>
    <n v="17"/>
    <n v="17069.36"/>
    <n v="7571.46"/>
    <x v="0"/>
    <x v="2"/>
    <x v="0"/>
  </r>
  <r>
    <d v="2023-03-25T00:00:00"/>
    <x v="2"/>
    <x v="0"/>
    <x v="3"/>
    <x v="3"/>
    <x v="0"/>
    <n v="1702.82"/>
    <n v="1862.61"/>
    <n v="1"/>
    <n v="1862.61"/>
    <n v="159.78999999999996"/>
    <x v="0"/>
    <x v="0"/>
    <x v="1"/>
  </r>
  <r>
    <d v="2023-03-25T00:00:00"/>
    <x v="2"/>
    <x v="0"/>
    <x v="2"/>
    <x v="3"/>
    <x v="2"/>
    <n v="2495.1999999999998"/>
    <n v="2600.9299999999998"/>
    <n v="11"/>
    <n v="28610.23"/>
    <n v="1163.0300000000002"/>
    <x v="1"/>
    <x v="1"/>
    <x v="1"/>
  </r>
  <r>
    <d v="2023-03-25T00:00:00"/>
    <x v="2"/>
    <x v="0"/>
    <x v="0"/>
    <x v="2"/>
    <x v="3"/>
    <n v="2610.6"/>
    <n v="2836.94"/>
    <n v="38"/>
    <n v="107803.72"/>
    <n v="8600.9200000000055"/>
    <x v="0"/>
    <x v="2"/>
    <x v="0"/>
  </r>
  <r>
    <d v="2023-03-25T00:00:00"/>
    <x v="2"/>
    <x v="0"/>
    <x v="4"/>
    <x v="2"/>
    <x v="1"/>
    <n v="2315"/>
    <n v="2467.2800000000002"/>
    <n v="49"/>
    <n v="120896.72000000002"/>
    <n v="7461.7200000000103"/>
    <x v="1"/>
    <x v="1"/>
    <x v="1"/>
  </r>
  <r>
    <d v="2023-03-26T00:00:00"/>
    <x v="2"/>
    <x v="0"/>
    <x v="2"/>
    <x v="3"/>
    <x v="0"/>
    <n v="1896.35"/>
    <n v="2394.1999999999998"/>
    <n v="7"/>
    <n v="16759.399999999998"/>
    <n v="3484.9499999999994"/>
    <x v="1"/>
    <x v="1"/>
    <x v="0"/>
  </r>
  <r>
    <d v="2023-03-27T00:00:00"/>
    <x v="2"/>
    <x v="0"/>
    <x v="0"/>
    <x v="1"/>
    <x v="0"/>
    <n v="4354.92"/>
    <n v="4495.88"/>
    <n v="37"/>
    <n v="166347.56"/>
    <n v="5215.5200000000013"/>
    <x v="0"/>
    <x v="1"/>
    <x v="0"/>
  </r>
  <r>
    <d v="2023-03-27T00:00:00"/>
    <x v="2"/>
    <x v="0"/>
    <x v="2"/>
    <x v="3"/>
    <x v="2"/>
    <n v="4171.83"/>
    <n v="4320.93"/>
    <n v="47"/>
    <n v="203083.71000000002"/>
    <n v="7007.7000000000171"/>
    <x v="1"/>
    <x v="0"/>
    <x v="0"/>
  </r>
  <r>
    <d v="2023-03-27T00:00:00"/>
    <x v="2"/>
    <x v="0"/>
    <x v="4"/>
    <x v="0"/>
    <x v="0"/>
    <n v="2449.21"/>
    <n v="2714.12"/>
    <n v="48"/>
    <n v="130277.75999999999"/>
    <n v="12715.679999999993"/>
    <x v="1"/>
    <x v="2"/>
    <x v="0"/>
  </r>
  <r>
    <d v="2023-03-28T00:00:00"/>
    <x v="2"/>
    <x v="0"/>
    <x v="0"/>
    <x v="2"/>
    <x v="0"/>
    <n v="635.28"/>
    <n v="831.13"/>
    <n v="14"/>
    <n v="11635.82"/>
    <n v="2741.9000000000005"/>
    <x v="0"/>
    <x v="1"/>
    <x v="1"/>
  </r>
  <r>
    <d v="2023-03-28T00:00:00"/>
    <x v="2"/>
    <x v="0"/>
    <x v="1"/>
    <x v="1"/>
    <x v="3"/>
    <n v="1170.07"/>
    <n v="1669.94999999999"/>
    <n v="42"/>
    <n v="70137.899999999587"/>
    <n v="20994.959999999584"/>
    <x v="0"/>
    <x v="1"/>
    <x v="1"/>
  </r>
  <r>
    <d v="2023-03-28T00:00:00"/>
    <x v="2"/>
    <x v="0"/>
    <x v="1"/>
    <x v="0"/>
    <x v="0"/>
    <n v="523.41999999999996"/>
    <n v="632.43999999999903"/>
    <n v="7"/>
    <n v="4427.0799999999936"/>
    <n v="763.13999999999351"/>
    <x v="1"/>
    <x v="1"/>
    <x v="0"/>
  </r>
  <r>
    <d v="2023-03-29T00:00:00"/>
    <x v="2"/>
    <x v="0"/>
    <x v="4"/>
    <x v="1"/>
    <x v="3"/>
    <n v="1150.3"/>
    <n v="1306.02"/>
    <n v="49"/>
    <n v="63994.979999999996"/>
    <n v="7630.2800000000016"/>
    <x v="1"/>
    <x v="2"/>
    <x v="1"/>
  </r>
  <r>
    <d v="2023-03-29T00:00:00"/>
    <x v="2"/>
    <x v="0"/>
    <x v="3"/>
    <x v="2"/>
    <x v="1"/>
    <n v="4020.09"/>
    <n v="4087.91"/>
    <n v="45"/>
    <n v="183955.94999999998"/>
    <n v="3051.8999999999869"/>
    <x v="0"/>
    <x v="1"/>
    <x v="0"/>
  </r>
  <r>
    <d v="2023-03-30T00:00:00"/>
    <x v="2"/>
    <x v="0"/>
    <x v="4"/>
    <x v="3"/>
    <x v="2"/>
    <n v="319.83"/>
    <n v="802.43"/>
    <n v="12"/>
    <n v="9629.16"/>
    <n v="5791.2"/>
    <x v="1"/>
    <x v="2"/>
    <x v="1"/>
  </r>
  <r>
    <d v="2023-03-30T00:00:00"/>
    <x v="2"/>
    <x v="0"/>
    <x v="2"/>
    <x v="3"/>
    <x v="1"/>
    <n v="1122.07"/>
    <n v="1608.76"/>
    <n v="14"/>
    <n v="22522.639999999999"/>
    <n v="6813.6600000000008"/>
    <x v="1"/>
    <x v="0"/>
    <x v="1"/>
  </r>
  <r>
    <d v="2023-03-30T00:00:00"/>
    <x v="2"/>
    <x v="0"/>
    <x v="1"/>
    <x v="1"/>
    <x v="0"/>
    <n v="4364.3500000000004"/>
    <n v="4710.1000000000004"/>
    <n v="10"/>
    <n v="47101"/>
    <n v="3457.5"/>
    <x v="1"/>
    <x v="2"/>
    <x v="0"/>
  </r>
  <r>
    <d v="2023-03-30T00:00:00"/>
    <x v="2"/>
    <x v="0"/>
    <x v="2"/>
    <x v="2"/>
    <x v="0"/>
    <n v="4763.1099999999997"/>
    <n v="5119.91"/>
    <n v="45"/>
    <n v="230395.94999999998"/>
    <n v="16056.000000000007"/>
    <x v="0"/>
    <x v="0"/>
    <x v="1"/>
  </r>
  <r>
    <d v="2023-03-31T00:00:00"/>
    <x v="2"/>
    <x v="0"/>
    <x v="1"/>
    <x v="3"/>
    <x v="0"/>
    <n v="4553.2299999999996"/>
    <n v="5038.74"/>
    <n v="12"/>
    <n v="60464.88"/>
    <n v="5826.1200000000026"/>
    <x v="1"/>
    <x v="2"/>
    <x v="1"/>
  </r>
  <r>
    <d v="2023-03-31T00:00:00"/>
    <x v="2"/>
    <x v="0"/>
    <x v="0"/>
    <x v="3"/>
    <x v="2"/>
    <n v="3883.38"/>
    <n v="4152.72"/>
    <n v="38"/>
    <n v="157803.36000000002"/>
    <n v="10234.920000000006"/>
    <x v="0"/>
    <x v="0"/>
    <x v="0"/>
  </r>
  <r>
    <d v="2023-03-31T00:00:00"/>
    <x v="2"/>
    <x v="0"/>
    <x v="2"/>
    <x v="2"/>
    <x v="1"/>
    <n v="2751.06"/>
    <n v="2976.0099999999902"/>
    <n v="4"/>
    <n v="11904.039999999961"/>
    <n v="899.79999999996107"/>
    <x v="0"/>
    <x v="2"/>
    <x v="0"/>
  </r>
  <r>
    <d v="2023-03-31T00:00:00"/>
    <x v="2"/>
    <x v="0"/>
    <x v="4"/>
    <x v="3"/>
    <x v="2"/>
    <n v="3114.88"/>
    <n v="3256.78"/>
    <n v="37"/>
    <n v="120500.86"/>
    <n v="5250.3000000000029"/>
    <x v="0"/>
    <x v="2"/>
    <x v="0"/>
  </r>
  <r>
    <d v="2023-04-02T00:00:00"/>
    <x v="3"/>
    <x v="0"/>
    <x v="2"/>
    <x v="1"/>
    <x v="1"/>
    <n v="4691.42"/>
    <n v="5026.1899999999996"/>
    <n v="46"/>
    <n v="231204.74"/>
    <n v="15399.419999999978"/>
    <x v="0"/>
    <x v="1"/>
    <x v="1"/>
  </r>
  <r>
    <d v="2023-04-02T00:00:00"/>
    <x v="3"/>
    <x v="0"/>
    <x v="1"/>
    <x v="2"/>
    <x v="2"/>
    <n v="2492.36"/>
    <n v="2738.68"/>
    <n v="7"/>
    <n v="19170.759999999998"/>
    <n v="1724.239999999998"/>
    <x v="0"/>
    <x v="0"/>
    <x v="0"/>
  </r>
  <r>
    <d v="2023-04-02T00:00:00"/>
    <x v="3"/>
    <x v="0"/>
    <x v="2"/>
    <x v="1"/>
    <x v="2"/>
    <n v="4262.21"/>
    <n v="4533.3100000000004"/>
    <n v="45"/>
    <n v="203998.95"/>
    <n v="12199.500000000016"/>
    <x v="0"/>
    <x v="2"/>
    <x v="0"/>
  </r>
  <r>
    <d v="2023-04-02T00:00:00"/>
    <x v="3"/>
    <x v="0"/>
    <x v="0"/>
    <x v="2"/>
    <x v="3"/>
    <n v="3496.15"/>
    <n v="3955.75"/>
    <n v="12"/>
    <n v="47469"/>
    <n v="5515.1999999999989"/>
    <x v="0"/>
    <x v="0"/>
    <x v="1"/>
  </r>
  <r>
    <d v="2023-04-02T00:00:00"/>
    <x v="3"/>
    <x v="0"/>
    <x v="3"/>
    <x v="3"/>
    <x v="0"/>
    <n v="1524.88"/>
    <n v="1636.14"/>
    <n v="10"/>
    <n v="16361.400000000001"/>
    <n v="1112.5999999999999"/>
    <x v="1"/>
    <x v="1"/>
    <x v="0"/>
  </r>
  <r>
    <d v="2023-04-03T00:00:00"/>
    <x v="3"/>
    <x v="0"/>
    <x v="1"/>
    <x v="3"/>
    <x v="3"/>
    <n v="2650.95"/>
    <n v="2860.4199999999901"/>
    <n v="9"/>
    <n v="25743.779999999912"/>
    <n v="1885.2299999999123"/>
    <x v="1"/>
    <x v="0"/>
    <x v="1"/>
  </r>
  <r>
    <d v="2023-04-03T00:00:00"/>
    <x v="3"/>
    <x v="0"/>
    <x v="4"/>
    <x v="0"/>
    <x v="1"/>
    <n v="4495.82"/>
    <n v="4794.0099999999902"/>
    <n v="30"/>
    <n v="143820.2999999997"/>
    <n v="8945.6999999997151"/>
    <x v="1"/>
    <x v="1"/>
    <x v="1"/>
  </r>
  <r>
    <d v="2023-04-04T00:00:00"/>
    <x v="3"/>
    <x v="0"/>
    <x v="3"/>
    <x v="3"/>
    <x v="2"/>
    <n v="3544.48"/>
    <n v="3723.66"/>
    <n v="12"/>
    <n v="44683.92"/>
    <n v="2150.159999999998"/>
    <x v="0"/>
    <x v="0"/>
    <x v="0"/>
  </r>
  <r>
    <d v="2023-04-04T00:00:00"/>
    <x v="3"/>
    <x v="0"/>
    <x v="2"/>
    <x v="3"/>
    <x v="1"/>
    <n v="1833.95"/>
    <n v="2147.14"/>
    <n v="49"/>
    <n v="105209.86"/>
    <n v="15346.309999999992"/>
    <x v="0"/>
    <x v="2"/>
    <x v="1"/>
  </r>
  <r>
    <d v="2023-04-05T00:00:00"/>
    <x v="3"/>
    <x v="0"/>
    <x v="1"/>
    <x v="1"/>
    <x v="0"/>
    <n v="4771.99"/>
    <n v="5079.6499999999996"/>
    <n v="26"/>
    <n v="132070.9"/>
    <n v="7999.1599999999962"/>
    <x v="1"/>
    <x v="2"/>
    <x v="0"/>
  </r>
  <r>
    <d v="2023-04-05T00:00:00"/>
    <x v="3"/>
    <x v="0"/>
    <x v="4"/>
    <x v="0"/>
    <x v="1"/>
    <n v="1011.65"/>
    <n v="1084.28"/>
    <n v="33"/>
    <n v="35781.24"/>
    <n v="2396.79"/>
    <x v="0"/>
    <x v="1"/>
    <x v="1"/>
  </r>
  <r>
    <d v="2023-04-05T00:00:00"/>
    <x v="3"/>
    <x v="0"/>
    <x v="3"/>
    <x v="0"/>
    <x v="3"/>
    <n v="2487.19"/>
    <n v="2521.4499999999998"/>
    <n v="48"/>
    <n v="121029.59999999999"/>
    <n v="1644.4799999999886"/>
    <x v="1"/>
    <x v="0"/>
    <x v="0"/>
  </r>
  <r>
    <d v="2023-04-05T00:00:00"/>
    <x v="3"/>
    <x v="0"/>
    <x v="0"/>
    <x v="3"/>
    <x v="1"/>
    <n v="481"/>
    <n v="531.02"/>
    <n v="43"/>
    <n v="22833.86"/>
    <n v="2150.8599999999992"/>
    <x v="1"/>
    <x v="0"/>
    <x v="0"/>
  </r>
  <r>
    <d v="2023-04-06T00:00:00"/>
    <x v="3"/>
    <x v="0"/>
    <x v="3"/>
    <x v="1"/>
    <x v="2"/>
    <n v="3993.39"/>
    <n v="4288.3"/>
    <n v="4"/>
    <n v="17153.2"/>
    <n v="1179.6400000000012"/>
    <x v="1"/>
    <x v="2"/>
    <x v="0"/>
  </r>
  <r>
    <d v="2023-04-06T00:00:00"/>
    <x v="3"/>
    <x v="0"/>
    <x v="4"/>
    <x v="1"/>
    <x v="0"/>
    <n v="3169.37"/>
    <n v="3304.15"/>
    <n v="31"/>
    <n v="102428.65000000001"/>
    <n v="4178.1800000000057"/>
    <x v="0"/>
    <x v="2"/>
    <x v="1"/>
  </r>
  <r>
    <d v="2023-04-06T00:00:00"/>
    <x v="3"/>
    <x v="0"/>
    <x v="1"/>
    <x v="2"/>
    <x v="2"/>
    <n v="3743.59"/>
    <n v="4116.38"/>
    <n v="32"/>
    <n v="131724.16"/>
    <n v="11929.279999999999"/>
    <x v="0"/>
    <x v="0"/>
    <x v="0"/>
  </r>
  <r>
    <d v="2023-04-07T00:00:00"/>
    <x v="3"/>
    <x v="0"/>
    <x v="3"/>
    <x v="3"/>
    <x v="3"/>
    <n v="2000.75"/>
    <n v="2426.9899999999998"/>
    <n v="4"/>
    <n v="9707.9599999999991"/>
    <n v="1704.9599999999991"/>
    <x v="0"/>
    <x v="1"/>
    <x v="0"/>
  </r>
  <r>
    <d v="2023-04-07T00:00:00"/>
    <x v="3"/>
    <x v="0"/>
    <x v="4"/>
    <x v="2"/>
    <x v="2"/>
    <n v="3325.43"/>
    <n v="3401.1"/>
    <n v="23"/>
    <n v="78225.3"/>
    <n v="1740.4100000000017"/>
    <x v="1"/>
    <x v="0"/>
    <x v="0"/>
  </r>
  <r>
    <d v="2023-04-08T00:00:00"/>
    <x v="3"/>
    <x v="0"/>
    <x v="1"/>
    <x v="3"/>
    <x v="0"/>
    <n v="3597.2"/>
    <n v="4071.8199999999902"/>
    <n v="13"/>
    <n v="52933.659999999873"/>
    <n v="6170.059999999874"/>
    <x v="0"/>
    <x v="1"/>
    <x v="0"/>
  </r>
  <r>
    <d v="2023-04-08T00:00:00"/>
    <x v="3"/>
    <x v="0"/>
    <x v="1"/>
    <x v="1"/>
    <x v="0"/>
    <n v="3219.88"/>
    <n v="3384.5"/>
    <n v="32"/>
    <n v="108304"/>
    <n v="5267.8399999999965"/>
    <x v="0"/>
    <x v="0"/>
    <x v="1"/>
  </r>
  <r>
    <d v="2023-04-08T00:00:00"/>
    <x v="3"/>
    <x v="0"/>
    <x v="1"/>
    <x v="3"/>
    <x v="0"/>
    <n v="1221.74"/>
    <n v="1611.92"/>
    <n v="29"/>
    <n v="46745.68"/>
    <n v="11315.220000000001"/>
    <x v="1"/>
    <x v="0"/>
    <x v="1"/>
  </r>
  <r>
    <d v="2023-04-08T00:00:00"/>
    <x v="3"/>
    <x v="0"/>
    <x v="1"/>
    <x v="1"/>
    <x v="0"/>
    <n v="357.92"/>
    <n v="461.3"/>
    <n v="45"/>
    <n v="20758.5"/>
    <n v="4652.0999999999995"/>
    <x v="0"/>
    <x v="0"/>
    <x v="0"/>
  </r>
  <r>
    <d v="2023-04-08T00:00:00"/>
    <x v="3"/>
    <x v="0"/>
    <x v="0"/>
    <x v="0"/>
    <x v="2"/>
    <n v="2947.22"/>
    <n v="3145.27"/>
    <n v="5"/>
    <n v="15726.35"/>
    <n v="990.25000000000091"/>
    <x v="1"/>
    <x v="2"/>
    <x v="1"/>
  </r>
  <r>
    <d v="2023-04-09T00:00:00"/>
    <x v="3"/>
    <x v="0"/>
    <x v="4"/>
    <x v="0"/>
    <x v="3"/>
    <n v="391.19"/>
    <n v="471.75"/>
    <n v="3"/>
    <n v="1415.25"/>
    <n v="241.68"/>
    <x v="0"/>
    <x v="0"/>
    <x v="0"/>
  </r>
  <r>
    <d v="2023-04-09T00:00:00"/>
    <x v="3"/>
    <x v="0"/>
    <x v="1"/>
    <x v="1"/>
    <x v="2"/>
    <n v="332.62"/>
    <n v="612.46"/>
    <n v="1"/>
    <n v="612.46"/>
    <n v="279.84000000000003"/>
    <x v="0"/>
    <x v="0"/>
    <x v="1"/>
  </r>
  <r>
    <d v="2023-04-11T00:00:00"/>
    <x v="3"/>
    <x v="0"/>
    <x v="3"/>
    <x v="0"/>
    <x v="3"/>
    <n v="914.22"/>
    <n v="971.57"/>
    <n v="21"/>
    <n v="20402.97"/>
    <n v="1204.3500000000004"/>
    <x v="0"/>
    <x v="0"/>
    <x v="0"/>
  </r>
  <r>
    <d v="2023-04-11T00:00:00"/>
    <x v="3"/>
    <x v="0"/>
    <x v="4"/>
    <x v="1"/>
    <x v="3"/>
    <n v="2091.21"/>
    <n v="2527"/>
    <n v="38"/>
    <n v="96026"/>
    <n v="16560.019999999997"/>
    <x v="0"/>
    <x v="2"/>
    <x v="0"/>
  </r>
  <r>
    <d v="2023-04-11T00:00:00"/>
    <x v="3"/>
    <x v="0"/>
    <x v="3"/>
    <x v="3"/>
    <x v="3"/>
    <n v="2831.58"/>
    <n v="3186.15"/>
    <n v="17"/>
    <n v="54164.55"/>
    <n v="6027.6900000000023"/>
    <x v="1"/>
    <x v="1"/>
    <x v="1"/>
  </r>
  <r>
    <d v="2023-04-11T00:00:00"/>
    <x v="3"/>
    <x v="0"/>
    <x v="3"/>
    <x v="2"/>
    <x v="1"/>
    <n v="2408.81"/>
    <n v="2624.09"/>
    <n v="29"/>
    <n v="76098.61"/>
    <n v="6243.1200000000063"/>
    <x v="0"/>
    <x v="0"/>
    <x v="0"/>
  </r>
  <r>
    <d v="2023-04-12T00:00:00"/>
    <x v="3"/>
    <x v="0"/>
    <x v="1"/>
    <x v="0"/>
    <x v="2"/>
    <n v="2101.3200000000002"/>
    <n v="2440.63"/>
    <n v="40"/>
    <n v="97625.200000000012"/>
    <n v="13572.399999999998"/>
    <x v="1"/>
    <x v="1"/>
    <x v="1"/>
  </r>
  <r>
    <d v="2023-04-12T00:00:00"/>
    <x v="3"/>
    <x v="0"/>
    <x v="3"/>
    <x v="1"/>
    <x v="3"/>
    <n v="2443.69"/>
    <n v="2462.34"/>
    <n v="19"/>
    <n v="46784.460000000006"/>
    <n v="354.35000000000173"/>
    <x v="1"/>
    <x v="1"/>
    <x v="1"/>
  </r>
  <r>
    <d v="2023-04-13T00:00:00"/>
    <x v="3"/>
    <x v="0"/>
    <x v="1"/>
    <x v="1"/>
    <x v="1"/>
    <n v="4739.13"/>
    <n v="4868.95"/>
    <n v="24"/>
    <n v="116854.79999999999"/>
    <n v="3115.679999999993"/>
    <x v="1"/>
    <x v="2"/>
    <x v="1"/>
  </r>
  <r>
    <d v="2023-04-13T00:00:00"/>
    <x v="3"/>
    <x v="0"/>
    <x v="0"/>
    <x v="2"/>
    <x v="2"/>
    <n v="3951.59"/>
    <n v="4387.01"/>
    <n v="36"/>
    <n v="157932.36000000002"/>
    <n v="15675.120000000003"/>
    <x v="1"/>
    <x v="1"/>
    <x v="1"/>
  </r>
  <r>
    <d v="2023-04-14T00:00:00"/>
    <x v="3"/>
    <x v="0"/>
    <x v="2"/>
    <x v="3"/>
    <x v="2"/>
    <n v="2631.68"/>
    <n v="2904.06"/>
    <n v="2"/>
    <n v="5808.12"/>
    <n v="544.76000000000022"/>
    <x v="1"/>
    <x v="1"/>
    <x v="0"/>
  </r>
  <r>
    <d v="2023-04-14T00:00:00"/>
    <x v="3"/>
    <x v="0"/>
    <x v="2"/>
    <x v="0"/>
    <x v="0"/>
    <n v="3712.35"/>
    <n v="3780.88"/>
    <n v="45"/>
    <n v="170139.6"/>
    <n v="3083.850000000009"/>
    <x v="1"/>
    <x v="0"/>
    <x v="1"/>
  </r>
  <r>
    <d v="2023-04-14T00:00:00"/>
    <x v="3"/>
    <x v="0"/>
    <x v="4"/>
    <x v="2"/>
    <x v="0"/>
    <n v="3472.51"/>
    <n v="3732"/>
    <n v="3"/>
    <n v="11196"/>
    <n v="778.46999999999935"/>
    <x v="1"/>
    <x v="0"/>
    <x v="0"/>
  </r>
  <r>
    <d v="2023-04-14T00:00:00"/>
    <x v="3"/>
    <x v="0"/>
    <x v="0"/>
    <x v="2"/>
    <x v="0"/>
    <n v="3966.86"/>
    <n v="4321.04"/>
    <n v="16"/>
    <n v="69136.639999999999"/>
    <n v="5666.8799999999974"/>
    <x v="0"/>
    <x v="2"/>
    <x v="1"/>
  </r>
  <r>
    <d v="2023-04-14T00:00:00"/>
    <x v="3"/>
    <x v="0"/>
    <x v="2"/>
    <x v="0"/>
    <x v="1"/>
    <n v="745.71"/>
    <n v="856.91"/>
    <n v="5"/>
    <n v="4284.55"/>
    <n v="555.99999999999966"/>
    <x v="0"/>
    <x v="1"/>
    <x v="1"/>
  </r>
  <r>
    <d v="2023-04-14T00:00:00"/>
    <x v="3"/>
    <x v="0"/>
    <x v="4"/>
    <x v="3"/>
    <x v="3"/>
    <n v="4929.55"/>
    <n v="4990.33"/>
    <n v="27"/>
    <n v="134738.91"/>
    <n v="1641.0599999999931"/>
    <x v="0"/>
    <x v="2"/>
    <x v="0"/>
  </r>
  <r>
    <d v="2023-04-15T00:00:00"/>
    <x v="3"/>
    <x v="0"/>
    <x v="1"/>
    <x v="0"/>
    <x v="3"/>
    <n v="4943.03"/>
    <n v="5442.15"/>
    <n v="4"/>
    <n v="21768.6"/>
    <n v="1996.4799999999996"/>
    <x v="0"/>
    <x v="0"/>
    <x v="0"/>
  </r>
  <r>
    <d v="2023-04-15T00:00:00"/>
    <x v="3"/>
    <x v="0"/>
    <x v="0"/>
    <x v="0"/>
    <x v="1"/>
    <n v="1375.57"/>
    <n v="1729.71"/>
    <n v="42"/>
    <n v="72647.820000000007"/>
    <n v="14873.880000000005"/>
    <x v="1"/>
    <x v="0"/>
    <x v="0"/>
  </r>
  <r>
    <d v="2023-04-16T00:00:00"/>
    <x v="3"/>
    <x v="0"/>
    <x v="4"/>
    <x v="3"/>
    <x v="3"/>
    <n v="2371.85"/>
    <n v="2457.29"/>
    <n v="7"/>
    <n v="17201.03"/>
    <n v="598.08000000000038"/>
    <x v="1"/>
    <x v="0"/>
    <x v="1"/>
  </r>
  <r>
    <d v="2023-04-16T00:00:00"/>
    <x v="3"/>
    <x v="0"/>
    <x v="1"/>
    <x v="2"/>
    <x v="2"/>
    <n v="1362.15"/>
    <n v="1844.07"/>
    <n v="44"/>
    <n v="81139.08"/>
    <n v="21204.479999999992"/>
    <x v="1"/>
    <x v="2"/>
    <x v="0"/>
  </r>
  <r>
    <d v="2023-04-17T00:00:00"/>
    <x v="3"/>
    <x v="0"/>
    <x v="4"/>
    <x v="1"/>
    <x v="3"/>
    <n v="1935.41"/>
    <n v="2305.44"/>
    <n v="2"/>
    <n v="4610.88"/>
    <n v="740.06"/>
    <x v="0"/>
    <x v="2"/>
    <x v="0"/>
  </r>
  <r>
    <d v="2023-04-18T00:00:00"/>
    <x v="3"/>
    <x v="0"/>
    <x v="4"/>
    <x v="1"/>
    <x v="2"/>
    <n v="709.97"/>
    <n v="1029.71"/>
    <n v="9"/>
    <n v="9267.39"/>
    <n v="2877.66"/>
    <x v="0"/>
    <x v="1"/>
    <x v="1"/>
  </r>
  <r>
    <d v="2023-04-18T00:00:00"/>
    <x v="3"/>
    <x v="0"/>
    <x v="2"/>
    <x v="1"/>
    <x v="3"/>
    <n v="1105.05"/>
    <n v="1200.96"/>
    <n v="34"/>
    <n v="40832.639999999999"/>
    <n v="3260.9400000000028"/>
    <x v="0"/>
    <x v="0"/>
    <x v="0"/>
  </r>
  <r>
    <d v="2023-04-18T00:00:00"/>
    <x v="3"/>
    <x v="0"/>
    <x v="0"/>
    <x v="0"/>
    <x v="2"/>
    <n v="146.27000000000001"/>
    <n v="498.46"/>
    <n v="47"/>
    <n v="23427.62"/>
    <n v="16552.929999999997"/>
    <x v="1"/>
    <x v="0"/>
    <x v="1"/>
  </r>
  <r>
    <d v="2023-04-19T00:00:00"/>
    <x v="3"/>
    <x v="0"/>
    <x v="3"/>
    <x v="1"/>
    <x v="1"/>
    <n v="3162.92"/>
    <n v="3409.93"/>
    <n v="5"/>
    <n v="17049.649999999998"/>
    <n v="1235.0499999999988"/>
    <x v="1"/>
    <x v="0"/>
    <x v="0"/>
  </r>
  <r>
    <d v="2023-04-20T00:00:00"/>
    <x v="3"/>
    <x v="0"/>
    <x v="1"/>
    <x v="2"/>
    <x v="3"/>
    <n v="3573.3"/>
    <n v="3740.13"/>
    <n v="34"/>
    <n v="127164.42"/>
    <n v="5672.2199999999975"/>
    <x v="0"/>
    <x v="2"/>
    <x v="0"/>
  </r>
  <r>
    <d v="2023-04-21T00:00:00"/>
    <x v="3"/>
    <x v="0"/>
    <x v="0"/>
    <x v="0"/>
    <x v="0"/>
    <n v="359.41"/>
    <n v="733"/>
    <n v="47"/>
    <n v="34451"/>
    <n v="17558.73"/>
    <x v="0"/>
    <x v="1"/>
    <x v="1"/>
  </r>
  <r>
    <d v="2023-04-21T00:00:00"/>
    <x v="3"/>
    <x v="0"/>
    <x v="0"/>
    <x v="2"/>
    <x v="1"/>
    <n v="1591.34"/>
    <n v="2043.82"/>
    <n v="17"/>
    <n v="34744.94"/>
    <n v="7692.16"/>
    <x v="1"/>
    <x v="0"/>
    <x v="1"/>
  </r>
  <r>
    <d v="2023-04-21T00:00:00"/>
    <x v="3"/>
    <x v="0"/>
    <x v="1"/>
    <x v="3"/>
    <x v="1"/>
    <n v="639.58000000000004"/>
    <n v="1107.45"/>
    <n v="29"/>
    <n v="32116.050000000003"/>
    <n v="13568.23"/>
    <x v="1"/>
    <x v="0"/>
    <x v="1"/>
  </r>
  <r>
    <d v="2023-04-21T00:00:00"/>
    <x v="3"/>
    <x v="0"/>
    <x v="2"/>
    <x v="2"/>
    <x v="2"/>
    <n v="1130.5999999999999"/>
    <n v="1466.1799999999901"/>
    <n v="35"/>
    <n v="51316.299999999654"/>
    <n v="11745.299999999655"/>
    <x v="0"/>
    <x v="0"/>
    <x v="0"/>
  </r>
  <r>
    <d v="2023-04-21T00:00:00"/>
    <x v="3"/>
    <x v="0"/>
    <x v="3"/>
    <x v="2"/>
    <x v="1"/>
    <n v="3816.39"/>
    <n v="4209.4399999999996"/>
    <n v="17"/>
    <n v="71560.479999999996"/>
    <n v="6681.8499999999949"/>
    <x v="0"/>
    <x v="0"/>
    <x v="1"/>
  </r>
  <r>
    <d v="2023-04-22T00:00:00"/>
    <x v="3"/>
    <x v="0"/>
    <x v="0"/>
    <x v="0"/>
    <x v="2"/>
    <n v="4398.16"/>
    <n v="4439.12"/>
    <n v="9"/>
    <n v="39952.080000000002"/>
    <n v="368.64000000000033"/>
    <x v="1"/>
    <x v="1"/>
    <x v="0"/>
  </r>
  <r>
    <d v="2023-04-22T00:00:00"/>
    <x v="3"/>
    <x v="0"/>
    <x v="0"/>
    <x v="1"/>
    <x v="2"/>
    <n v="3494.19"/>
    <n v="3746"/>
    <n v="39"/>
    <n v="146094"/>
    <n v="9820.5899999999983"/>
    <x v="0"/>
    <x v="1"/>
    <x v="1"/>
  </r>
  <r>
    <d v="2023-04-23T00:00:00"/>
    <x v="3"/>
    <x v="0"/>
    <x v="0"/>
    <x v="0"/>
    <x v="0"/>
    <n v="600.20000000000005"/>
    <n v="1059.82"/>
    <n v="35"/>
    <n v="37093.699999999997"/>
    <n v="16086.699999999997"/>
    <x v="0"/>
    <x v="1"/>
    <x v="1"/>
  </r>
  <r>
    <d v="2023-04-23T00:00:00"/>
    <x v="3"/>
    <x v="0"/>
    <x v="2"/>
    <x v="1"/>
    <x v="1"/>
    <n v="4502.09"/>
    <n v="4879.72"/>
    <n v="6"/>
    <n v="29278.32"/>
    <n v="2265.7800000000007"/>
    <x v="1"/>
    <x v="2"/>
    <x v="0"/>
  </r>
  <r>
    <d v="2023-04-23T00:00:00"/>
    <x v="3"/>
    <x v="0"/>
    <x v="1"/>
    <x v="3"/>
    <x v="2"/>
    <n v="1195.22"/>
    <n v="1320.06"/>
    <n v="44"/>
    <n v="58082.64"/>
    <n v="5492.9599999999964"/>
    <x v="0"/>
    <x v="1"/>
    <x v="1"/>
  </r>
  <r>
    <d v="2023-04-23T00:00:00"/>
    <x v="3"/>
    <x v="0"/>
    <x v="0"/>
    <x v="3"/>
    <x v="0"/>
    <n v="4110.6000000000004"/>
    <n v="4488.37"/>
    <n v="23"/>
    <n v="103232.51"/>
    <n v="8688.7099999999882"/>
    <x v="1"/>
    <x v="2"/>
    <x v="0"/>
  </r>
  <r>
    <d v="2023-04-24T00:00:00"/>
    <x v="3"/>
    <x v="0"/>
    <x v="2"/>
    <x v="0"/>
    <x v="1"/>
    <n v="2051"/>
    <n v="2121.5500000000002"/>
    <n v="35"/>
    <n v="74254.25"/>
    <n v="2469.2500000000064"/>
    <x v="0"/>
    <x v="0"/>
    <x v="1"/>
  </r>
  <r>
    <d v="2023-04-24T00:00:00"/>
    <x v="3"/>
    <x v="0"/>
    <x v="2"/>
    <x v="0"/>
    <x v="3"/>
    <n v="2316.92"/>
    <n v="2462.63"/>
    <n v="48"/>
    <n v="118206.24"/>
    <n v="6994.0800000000017"/>
    <x v="1"/>
    <x v="2"/>
    <x v="0"/>
  </r>
  <r>
    <d v="2023-04-25T00:00:00"/>
    <x v="3"/>
    <x v="0"/>
    <x v="4"/>
    <x v="3"/>
    <x v="0"/>
    <n v="2615.48"/>
    <n v="3062.22"/>
    <n v="24"/>
    <n v="73493.279999999999"/>
    <n v="10721.759999999995"/>
    <x v="1"/>
    <x v="1"/>
    <x v="1"/>
  </r>
  <r>
    <d v="2023-04-25T00:00:00"/>
    <x v="3"/>
    <x v="0"/>
    <x v="2"/>
    <x v="2"/>
    <x v="1"/>
    <n v="3519.29"/>
    <n v="3822.98"/>
    <n v="44"/>
    <n v="168211.12"/>
    <n v="13362.360000000002"/>
    <x v="0"/>
    <x v="1"/>
    <x v="0"/>
  </r>
  <r>
    <d v="2023-04-25T00:00:00"/>
    <x v="3"/>
    <x v="0"/>
    <x v="3"/>
    <x v="1"/>
    <x v="2"/>
    <n v="3155.97"/>
    <n v="3263.49"/>
    <n v="10"/>
    <n v="32634.899999999998"/>
    <n v="1075.1999999999998"/>
    <x v="0"/>
    <x v="2"/>
    <x v="0"/>
  </r>
  <r>
    <d v="2023-04-26T00:00:00"/>
    <x v="3"/>
    <x v="0"/>
    <x v="2"/>
    <x v="1"/>
    <x v="2"/>
    <n v="4399.8"/>
    <n v="4801.0600000000004"/>
    <n v="37"/>
    <n v="177639.22"/>
    <n v="14846.620000000008"/>
    <x v="1"/>
    <x v="1"/>
    <x v="1"/>
  </r>
  <r>
    <d v="2023-04-27T00:00:00"/>
    <x v="3"/>
    <x v="0"/>
    <x v="0"/>
    <x v="3"/>
    <x v="2"/>
    <n v="1330.62"/>
    <n v="1543.6899999999901"/>
    <n v="25"/>
    <n v="38592.249999999753"/>
    <n v="5326.7499999997544"/>
    <x v="1"/>
    <x v="2"/>
    <x v="0"/>
  </r>
  <r>
    <d v="2023-04-27T00:00:00"/>
    <x v="3"/>
    <x v="0"/>
    <x v="2"/>
    <x v="1"/>
    <x v="0"/>
    <n v="355.72"/>
    <n v="438.27"/>
    <n v="17"/>
    <n v="7450.59"/>
    <n v="1403.3499999999992"/>
    <x v="0"/>
    <x v="1"/>
    <x v="0"/>
  </r>
  <r>
    <d v="2023-04-27T00:00:00"/>
    <x v="3"/>
    <x v="0"/>
    <x v="4"/>
    <x v="1"/>
    <x v="1"/>
    <n v="4772.03"/>
    <n v="4805.17"/>
    <n v="33"/>
    <n v="158570.61000000002"/>
    <n v="1093.6200000000108"/>
    <x v="0"/>
    <x v="1"/>
    <x v="0"/>
  </r>
  <r>
    <d v="2023-04-27T00:00:00"/>
    <x v="3"/>
    <x v="0"/>
    <x v="4"/>
    <x v="2"/>
    <x v="3"/>
    <n v="2069.0500000000002"/>
    <n v="2363.9"/>
    <n v="42"/>
    <n v="99283.8"/>
    <n v="12383.699999999997"/>
    <x v="0"/>
    <x v="0"/>
    <x v="0"/>
  </r>
  <r>
    <d v="2023-04-27T00:00:00"/>
    <x v="3"/>
    <x v="0"/>
    <x v="3"/>
    <x v="0"/>
    <x v="0"/>
    <n v="1645.51"/>
    <n v="2045.53"/>
    <n v="13"/>
    <n v="26591.89"/>
    <n v="5200.26"/>
    <x v="0"/>
    <x v="0"/>
    <x v="1"/>
  </r>
  <r>
    <d v="2023-04-28T00:00:00"/>
    <x v="3"/>
    <x v="0"/>
    <x v="1"/>
    <x v="1"/>
    <x v="1"/>
    <n v="623.32000000000005"/>
    <n v="853.66"/>
    <n v="27"/>
    <n v="23048.82"/>
    <n v="6219.1799999999976"/>
    <x v="0"/>
    <x v="0"/>
    <x v="0"/>
  </r>
  <r>
    <d v="2023-04-28T00:00:00"/>
    <x v="3"/>
    <x v="0"/>
    <x v="4"/>
    <x v="0"/>
    <x v="0"/>
    <n v="2278.9"/>
    <n v="2626.9"/>
    <n v="33"/>
    <n v="86687.7"/>
    <n v="11484"/>
    <x v="1"/>
    <x v="2"/>
    <x v="0"/>
  </r>
  <r>
    <d v="2023-04-28T00:00:00"/>
    <x v="3"/>
    <x v="0"/>
    <x v="1"/>
    <x v="0"/>
    <x v="2"/>
    <n v="2311.25"/>
    <n v="2482.34"/>
    <n v="5"/>
    <n v="12411.7"/>
    <n v="855.45000000000073"/>
    <x v="0"/>
    <x v="2"/>
    <x v="1"/>
  </r>
  <r>
    <d v="2023-04-28T00:00:00"/>
    <x v="3"/>
    <x v="0"/>
    <x v="1"/>
    <x v="2"/>
    <x v="1"/>
    <n v="4037.73"/>
    <n v="4446.45"/>
    <n v="25"/>
    <n v="111161.25"/>
    <n v="10217.999999999995"/>
    <x v="0"/>
    <x v="1"/>
    <x v="0"/>
  </r>
  <r>
    <d v="2023-04-29T00:00:00"/>
    <x v="3"/>
    <x v="0"/>
    <x v="1"/>
    <x v="0"/>
    <x v="0"/>
    <n v="536.80999999999995"/>
    <n v="839.92"/>
    <n v="10"/>
    <n v="8399.1999999999989"/>
    <n v="3031.1000000000004"/>
    <x v="0"/>
    <x v="1"/>
    <x v="0"/>
  </r>
  <r>
    <d v="2023-04-29T00:00:00"/>
    <x v="3"/>
    <x v="0"/>
    <x v="4"/>
    <x v="0"/>
    <x v="3"/>
    <n v="4201.1099999999997"/>
    <n v="4436.5"/>
    <n v="34"/>
    <n v="150841"/>
    <n v="8003.2600000000111"/>
    <x v="1"/>
    <x v="0"/>
    <x v="0"/>
  </r>
  <r>
    <d v="2023-04-30T00:00:00"/>
    <x v="3"/>
    <x v="0"/>
    <x v="1"/>
    <x v="0"/>
    <x v="0"/>
    <n v="2962.41"/>
    <n v="3218.8999999999901"/>
    <n v="19"/>
    <n v="61159.099999999809"/>
    <n v="4873.309999999814"/>
    <x v="1"/>
    <x v="0"/>
    <x v="1"/>
  </r>
  <r>
    <d v="2023-04-30T00:00:00"/>
    <x v="3"/>
    <x v="0"/>
    <x v="4"/>
    <x v="2"/>
    <x v="2"/>
    <n v="2466.1799999999998"/>
    <n v="2483.87"/>
    <n v="18"/>
    <n v="44709.659999999996"/>
    <n v="318.42000000000098"/>
    <x v="0"/>
    <x v="0"/>
    <x v="0"/>
  </r>
  <r>
    <d v="2023-04-30T00:00:00"/>
    <x v="3"/>
    <x v="0"/>
    <x v="3"/>
    <x v="2"/>
    <x v="3"/>
    <n v="1000.18"/>
    <n v="1023.64"/>
    <n v="3"/>
    <n v="3070.92"/>
    <n v="70.380000000000109"/>
    <x v="0"/>
    <x v="2"/>
    <x v="0"/>
  </r>
  <r>
    <d v="2023-04-30T00:00:00"/>
    <x v="3"/>
    <x v="0"/>
    <x v="0"/>
    <x v="2"/>
    <x v="0"/>
    <n v="4337.82"/>
    <n v="4460.71"/>
    <n v="32"/>
    <n v="142742.72"/>
    <n v="3932.4800000000105"/>
    <x v="0"/>
    <x v="0"/>
    <x v="1"/>
  </r>
  <r>
    <d v="2023-05-02T00:00:00"/>
    <x v="4"/>
    <x v="0"/>
    <x v="2"/>
    <x v="0"/>
    <x v="1"/>
    <n v="4292.63"/>
    <n v="4387.99"/>
    <n v="42"/>
    <n v="184295.58"/>
    <n v="4005.1199999999862"/>
    <x v="1"/>
    <x v="2"/>
    <x v="1"/>
  </r>
  <r>
    <d v="2023-05-02T00:00:00"/>
    <x v="4"/>
    <x v="0"/>
    <x v="4"/>
    <x v="0"/>
    <x v="1"/>
    <n v="3764.14"/>
    <n v="4100.3999999999996"/>
    <n v="34"/>
    <n v="139413.59999999998"/>
    <n v="11432.839999999993"/>
    <x v="0"/>
    <x v="1"/>
    <x v="1"/>
  </r>
  <r>
    <d v="2023-05-02T00:00:00"/>
    <x v="4"/>
    <x v="0"/>
    <x v="4"/>
    <x v="3"/>
    <x v="1"/>
    <n v="991.63"/>
    <n v="1065.55"/>
    <n v="32"/>
    <n v="34097.599999999999"/>
    <n v="2365.4399999999987"/>
    <x v="0"/>
    <x v="1"/>
    <x v="1"/>
  </r>
  <r>
    <d v="2023-05-03T00:00:00"/>
    <x v="4"/>
    <x v="0"/>
    <x v="2"/>
    <x v="1"/>
    <x v="3"/>
    <n v="2680.22"/>
    <n v="3027.9199999999901"/>
    <n v="30"/>
    <n v="90837.5999999997"/>
    <n v="10430.999999999709"/>
    <x v="0"/>
    <x v="1"/>
    <x v="0"/>
  </r>
  <r>
    <d v="2023-05-03T00:00:00"/>
    <x v="4"/>
    <x v="0"/>
    <x v="4"/>
    <x v="2"/>
    <x v="1"/>
    <n v="502.86"/>
    <n v="687.6"/>
    <n v="37"/>
    <n v="25441.200000000001"/>
    <n v="6835.38"/>
    <x v="0"/>
    <x v="0"/>
    <x v="0"/>
  </r>
  <r>
    <d v="2023-05-03T00:00:00"/>
    <x v="4"/>
    <x v="0"/>
    <x v="3"/>
    <x v="1"/>
    <x v="1"/>
    <n v="2894.18"/>
    <n v="3193.92"/>
    <n v="41"/>
    <n v="130950.72"/>
    <n v="12289.340000000009"/>
    <x v="1"/>
    <x v="1"/>
    <x v="1"/>
  </r>
  <r>
    <d v="2023-05-04T00:00:00"/>
    <x v="4"/>
    <x v="0"/>
    <x v="3"/>
    <x v="2"/>
    <x v="3"/>
    <n v="2248.71"/>
    <n v="2626.02"/>
    <n v="25"/>
    <n v="65650.5"/>
    <n v="9432.7499999999982"/>
    <x v="1"/>
    <x v="1"/>
    <x v="0"/>
  </r>
  <r>
    <d v="2023-05-05T00:00:00"/>
    <x v="4"/>
    <x v="0"/>
    <x v="0"/>
    <x v="1"/>
    <x v="0"/>
    <n v="992.17"/>
    <n v="1263.49"/>
    <n v="26"/>
    <n v="32850.74"/>
    <n v="7054.3200000000015"/>
    <x v="0"/>
    <x v="1"/>
    <x v="1"/>
  </r>
  <r>
    <d v="2023-05-07T00:00:00"/>
    <x v="4"/>
    <x v="0"/>
    <x v="2"/>
    <x v="3"/>
    <x v="0"/>
    <n v="1566.03"/>
    <n v="1576.34"/>
    <n v="28"/>
    <n v="44137.52"/>
    <n v="288.67999999999847"/>
    <x v="0"/>
    <x v="1"/>
    <x v="0"/>
  </r>
  <r>
    <d v="2023-05-07T00:00:00"/>
    <x v="4"/>
    <x v="0"/>
    <x v="2"/>
    <x v="0"/>
    <x v="0"/>
    <n v="2152.6799999999998"/>
    <n v="2475.9299999999998"/>
    <n v="29"/>
    <n v="71801.97"/>
    <n v="9374.25"/>
    <x v="0"/>
    <x v="1"/>
    <x v="0"/>
  </r>
  <r>
    <d v="2023-05-08T00:00:00"/>
    <x v="4"/>
    <x v="0"/>
    <x v="1"/>
    <x v="2"/>
    <x v="0"/>
    <n v="2985.63"/>
    <n v="3452.14"/>
    <n v="20"/>
    <n v="69042.8"/>
    <n v="9330.1999999999953"/>
    <x v="1"/>
    <x v="2"/>
    <x v="1"/>
  </r>
  <r>
    <d v="2023-05-08T00:00:00"/>
    <x v="4"/>
    <x v="0"/>
    <x v="1"/>
    <x v="0"/>
    <x v="3"/>
    <n v="2171.79"/>
    <n v="2307.64"/>
    <n v="32"/>
    <n v="73844.479999999996"/>
    <n v="4347.1999999999971"/>
    <x v="0"/>
    <x v="1"/>
    <x v="0"/>
  </r>
  <r>
    <d v="2023-05-08T00:00:00"/>
    <x v="4"/>
    <x v="0"/>
    <x v="3"/>
    <x v="3"/>
    <x v="1"/>
    <n v="727.38"/>
    <n v="764.54"/>
    <n v="17"/>
    <n v="12997.18"/>
    <n v="631.71999999999946"/>
    <x v="0"/>
    <x v="2"/>
    <x v="1"/>
  </r>
  <r>
    <d v="2023-05-09T00:00:00"/>
    <x v="4"/>
    <x v="0"/>
    <x v="2"/>
    <x v="2"/>
    <x v="3"/>
    <n v="1311.01"/>
    <n v="1538.79"/>
    <n v="13"/>
    <n v="20004.27"/>
    <n v="2961.1399999999994"/>
    <x v="0"/>
    <x v="1"/>
    <x v="1"/>
  </r>
  <r>
    <d v="2023-05-10T00:00:00"/>
    <x v="4"/>
    <x v="0"/>
    <x v="2"/>
    <x v="3"/>
    <x v="3"/>
    <n v="4865.33"/>
    <n v="5316.13"/>
    <n v="47"/>
    <n v="249858.11000000002"/>
    <n v="21187.600000000009"/>
    <x v="1"/>
    <x v="1"/>
    <x v="0"/>
  </r>
  <r>
    <d v="2023-05-10T00:00:00"/>
    <x v="4"/>
    <x v="0"/>
    <x v="3"/>
    <x v="1"/>
    <x v="0"/>
    <n v="4696.6400000000003"/>
    <n v="4713.68"/>
    <n v="43"/>
    <n v="202688.24000000002"/>
    <n v="732.71999999999844"/>
    <x v="0"/>
    <x v="1"/>
    <x v="0"/>
  </r>
  <r>
    <d v="2023-05-10T00:00:00"/>
    <x v="4"/>
    <x v="0"/>
    <x v="0"/>
    <x v="3"/>
    <x v="0"/>
    <n v="1922.21"/>
    <n v="2180.83"/>
    <n v="19"/>
    <n v="41435.769999999997"/>
    <n v="4913.7799999999979"/>
    <x v="0"/>
    <x v="2"/>
    <x v="1"/>
  </r>
  <r>
    <d v="2023-05-10T00:00:00"/>
    <x v="4"/>
    <x v="0"/>
    <x v="2"/>
    <x v="3"/>
    <x v="2"/>
    <n v="4291.33"/>
    <n v="4658.6400000000003"/>
    <n v="47"/>
    <n v="218956.08000000002"/>
    <n v="17263.570000000018"/>
    <x v="1"/>
    <x v="2"/>
    <x v="1"/>
  </r>
  <r>
    <d v="2023-05-11T00:00:00"/>
    <x v="4"/>
    <x v="0"/>
    <x v="0"/>
    <x v="3"/>
    <x v="0"/>
    <n v="442.11"/>
    <n v="803.87"/>
    <n v="8"/>
    <n v="6430.96"/>
    <n v="2894.08"/>
    <x v="1"/>
    <x v="0"/>
    <x v="1"/>
  </r>
  <r>
    <d v="2023-05-11T00:00:00"/>
    <x v="4"/>
    <x v="0"/>
    <x v="1"/>
    <x v="0"/>
    <x v="2"/>
    <n v="3418.78"/>
    <n v="3824.1"/>
    <n v="26"/>
    <n v="99426.599999999991"/>
    <n v="10538.319999999992"/>
    <x v="1"/>
    <x v="2"/>
    <x v="0"/>
  </r>
  <r>
    <d v="2023-05-11T00:00:00"/>
    <x v="4"/>
    <x v="0"/>
    <x v="3"/>
    <x v="0"/>
    <x v="3"/>
    <n v="4418.95"/>
    <n v="4647.87"/>
    <n v="36"/>
    <n v="167323.32"/>
    <n v="8241.1200000000026"/>
    <x v="1"/>
    <x v="1"/>
    <x v="0"/>
  </r>
  <r>
    <d v="2023-05-11T00:00:00"/>
    <x v="4"/>
    <x v="0"/>
    <x v="4"/>
    <x v="1"/>
    <x v="3"/>
    <n v="3441.61"/>
    <n v="3693.45"/>
    <n v="48"/>
    <n v="177285.59999999998"/>
    <n v="12088.319999999985"/>
    <x v="0"/>
    <x v="1"/>
    <x v="0"/>
  </r>
  <r>
    <d v="2023-05-12T00:00:00"/>
    <x v="4"/>
    <x v="0"/>
    <x v="3"/>
    <x v="0"/>
    <x v="1"/>
    <n v="2915.88"/>
    <n v="3397.36"/>
    <n v="16"/>
    <n v="54357.760000000002"/>
    <n v="7703.68"/>
    <x v="1"/>
    <x v="1"/>
    <x v="1"/>
  </r>
  <r>
    <d v="2023-05-12T00:00:00"/>
    <x v="4"/>
    <x v="0"/>
    <x v="3"/>
    <x v="1"/>
    <x v="0"/>
    <n v="2607.31"/>
    <n v="2774.86"/>
    <n v="20"/>
    <n v="55497.200000000004"/>
    <n v="3351.0000000000036"/>
    <x v="1"/>
    <x v="2"/>
    <x v="1"/>
  </r>
  <r>
    <d v="2023-05-13T00:00:00"/>
    <x v="4"/>
    <x v="0"/>
    <x v="0"/>
    <x v="2"/>
    <x v="1"/>
    <n v="3536.46"/>
    <n v="3945.82"/>
    <n v="40"/>
    <n v="157832.80000000002"/>
    <n v="16374.400000000005"/>
    <x v="1"/>
    <x v="1"/>
    <x v="0"/>
  </r>
  <r>
    <d v="2023-05-13T00:00:00"/>
    <x v="4"/>
    <x v="0"/>
    <x v="1"/>
    <x v="2"/>
    <x v="2"/>
    <n v="3161.4"/>
    <n v="3339.66"/>
    <n v="31"/>
    <n v="103529.45999999999"/>
    <n v="5526.0599999999922"/>
    <x v="0"/>
    <x v="1"/>
    <x v="0"/>
  </r>
  <r>
    <d v="2023-05-13T00:00:00"/>
    <x v="4"/>
    <x v="0"/>
    <x v="3"/>
    <x v="3"/>
    <x v="0"/>
    <n v="4337.6099999999997"/>
    <n v="4386.82"/>
    <n v="36"/>
    <n v="157925.51999999999"/>
    <n v="1771.5600000000013"/>
    <x v="0"/>
    <x v="2"/>
    <x v="0"/>
  </r>
  <r>
    <d v="2023-05-14T00:00:00"/>
    <x v="4"/>
    <x v="0"/>
    <x v="0"/>
    <x v="1"/>
    <x v="2"/>
    <n v="2745.75"/>
    <n v="3244.76"/>
    <n v="35"/>
    <n v="113566.6"/>
    <n v="17465.350000000006"/>
    <x v="1"/>
    <x v="1"/>
    <x v="0"/>
  </r>
  <r>
    <d v="2023-05-14T00:00:00"/>
    <x v="4"/>
    <x v="0"/>
    <x v="2"/>
    <x v="2"/>
    <x v="1"/>
    <n v="2799.71"/>
    <n v="3231.08"/>
    <n v="40"/>
    <n v="129243.2"/>
    <n v="17254.799999999996"/>
    <x v="0"/>
    <x v="2"/>
    <x v="1"/>
  </r>
  <r>
    <d v="2023-05-14T00:00:00"/>
    <x v="4"/>
    <x v="0"/>
    <x v="0"/>
    <x v="1"/>
    <x v="2"/>
    <n v="4573.6899999999996"/>
    <n v="4820.2999999999902"/>
    <n v="22"/>
    <n v="106046.59999999979"/>
    <n v="5425.4199999997927"/>
    <x v="1"/>
    <x v="0"/>
    <x v="0"/>
  </r>
  <r>
    <d v="2023-05-14T00:00:00"/>
    <x v="4"/>
    <x v="0"/>
    <x v="3"/>
    <x v="1"/>
    <x v="2"/>
    <n v="4271.99"/>
    <n v="4417.79"/>
    <n v="8"/>
    <n v="35342.32"/>
    <n v="1166.4000000000015"/>
    <x v="0"/>
    <x v="0"/>
    <x v="0"/>
  </r>
  <r>
    <d v="2023-05-14T00:00:00"/>
    <x v="4"/>
    <x v="0"/>
    <x v="1"/>
    <x v="2"/>
    <x v="2"/>
    <n v="3988.52"/>
    <n v="4240.2299999999996"/>
    <n v="10"/>
    <n v="42402.299999999996"/>
    <n v="2517.0999999999958"/>
    <x v="1"/>
    <x v="2"/>
    <x v="0"/>
  </r>
  <r>
    <d v="2023-05-16T00:00:00"/>
    <x v="4"/>
    <x v="0"/>
    <x v="1"/>
    <x v="0"/>
    <x v="1"/>
    <n v="159.32"/>
    <n v="303.36"/>
    <n v="46"/>
    <n v="13954.560000000001"/>
    <n v="6625.8400000000011"/>
    <x v="1"/>
    <x v="0"/>
    <x v="1"/>
  </r>
  <r>
    <d v="2023-05-17T00:00:00"/>
    <x v="4"/>
    <x v="0"/>
    <x v="4"/>
    <x v="0"/>
    <x v="3"/>
    <n v="3981.2"/>
    <n v="4432.3499999999904"/>
    <n v="36"/>
    <n v="159564.59999999966"/>
    <n v="16241.399999999659"/>
    <x v="1"/>
    <x v="0"/>
    <x v="0"/>
  </r>
  <r>
    <d v="2023-05-17T00:00:00"/>
    <x v="4"/>
    <x v="0"/>
    <x v="4"/>
    <x v="2"/>
    <x v="1"/>
    <n v="3290.89"/>
    <n v="3317.75"/>
    <n v="1"/>
    <n v="3317.75"/>
    <n v="26.860000000000127"/>
    <x v="0"/>
    <x v="1"/>
    <x v="0"/>
  </r>
  <r>
    <d v="2023-05-17T00:00:00"/>
    <x v="4"/>
    <x v="0"/>
    <x v="3"/>
    <x v="0"/>
    <x v="1"/>
    <n v="112.35"/>
    <n v="586.17999999999995"/>
    <n v="45"/>
    <n v="26378.1"/>
    <n v="21322.35"/>
    <x v="0"/>
    <x v="2"/>
    <x v="1"/>
  </r>
  <r>
    <d v="2023-05-17T00:00:00"/>
    <x v="4"/>
    <x v="0"/>
    <x v="3"/>
    <x v="1"/>
    <x v="0"/>
    <n v="4252.17"/>
    <n v="4720.2700000000004"/>
    <n v="36"/>
    <n v="169929.72000000003"/>
    <n v="16851.600000000013"/>
    <x v="1"/>
    <x v="0"/>
    <x v="1"/>
  </r>
  <r>
    <d v="2023-05-17T00:00:00"/>
    <x v="4"/>
    <x v="0"/>
    <x v="2"/>
    <x v="2"/>
    <x v="1"/>
    <n v="2461.6999999999998"/>
    <n v="2529.02"/>
    <n v="47"/>
    <n v="118863.94"/>
    <n v="3164.0400000000077"/>
    <x v="0"/>
    <x v="0"/>
    <x v="1"/>
  </r>
  <r>
    <d v="2023-05-18T00:00:00"/>
    <x v="4"/>
    <x v="0"/>
    <x v="3"/>
    <x v="2"/>
    <x v="3"/>
    <n v="3577.69"/>
    <n v="3931.25"/>
    <n v="39"/>
    <n v="153318.75"/>
    <n v="13788.839999999998"/>
    <x v="0"/>
    <x v="0"/>
    <x v="1"/>
  </r>
  <r>
    <d v="2023-05-19T00:00:00"/>
    <x v="4"/>
    <x v="0"/>
    <x v="1"/>
    <x v="3"/>
    <x v="0"/>
    <n v="2158.69"/>
    <n v="2384.38"/>
    <n v="35"/>
    <n v="83453.3"/>
    <n v="7899.1500000000015"/>
    <x v="0"/>
    <x v="1"/>
    <x v="1"/>
  </r>
  <r>
    <d v="2023-05-20T00:00:00"/>
    <x v="4"/>
    <x v="0"/>
    <x v="3"/>
    <x v="0"/>
    <x v="3"/>
    <n v="3466.11"/>
    <n v="3799.67"/>
    <n v="16"/>
    <n v="60794.720000000001"/>
    <n v="5336.9599999999991"/>
    <x v="0"/>
    <x v="0"/>
    <x v="1"/>
  </r>
  <r>
    <d v="2023-05-20T00:00:00"/>
    <x v="4"/>
    <x v="0"/>
    <x v="0"/>
    <x v="2"/>
    <x v="1"/>
    <n v="2831.23"/>
    <n v="3206.98"/>
    <n v="6"/>
    <n v="19241.88"/>
    <n v="2254.5"/>
    <x v="0"/>
    <x v="1"/>
    <x v="1"/>
  </r>
  <r>
    <d v="2023-05-21T00:00:00"/>
    <x v="4"/>
    <x v="0"/>
    <x v="1"/>
    <x v="2"/>
    <x v="0"/>
    <n v="2041.42"/>
    <n v="2291.17"/>
    <n v="26"/>
    <n v="59570.42"/>
    <n v="6493.5"/>
    <x v="0"/>
    <x v="0"/>
    <x v="0"/>
  </r>
  <r>
    <d v="2023-05-21T00:00:00"/>
    <x v="4"/>
    <x v="0"/>
    <x v="2"/>
    <x v="3"/>
    <x v="1"/>
    <n v="1712.43"/>
    <n v="1980.06"/>
    <n v="37"/>
    <n v="73262.22"/>
    <n v="9902.3099999999959"/>
    <x v="1"/>
    <x v="0"/>
    <x v="0"/>
  </r>
  <r>
    <d v="2023-05-21T00:00:00"/>
    <x v="4"/>
    <x v="0"/>
    <x v="4"/>
    <x v="0"/>
    <x v="2"/>
    <n v="4146.99"/>
    <n v="4172.3499999999904"/>
    <n v="37"/>
    <n v="154376.94999999963"/>
    <n v="938.31999999965137"/>
    <x v="0"/>
    <x v="0"/>
    <x v="1"/>
  </r>
  <r>
    <d v="2023-05-22T00:00:00"/>
    <x v="4"/>
    <x v="0"/>
    <x v="4"/>
    <x v="1"/>
    <x v="3"/>
    <n v="4132.79"/>
    <n v="4624.1000000000004"/>
    <n v="45"/>
    <n v="208084.50000000003"/>
    <n v="22108.950000000019"/>
    <x v="1"/>
    <x v="2"/>
    <x v="1"/>
  </r>
  <r>
    <d v="2023-05-22T00:00:00"/>
    <x v="4"/>
    <x v="0"/>
    <x v="3"/>
    <x v="3"/>
    <x v="0"/>
    <n v="3316.97"/>
    <n v="3544.02"/>
    <n v="19"/>
    <n v="67336.38"/>
    <n v="4313.9500000000035"/>
    <x v="0"/>
    <x v="0"/>
    <x v="0"/>
  </r>
  <r>
    <d v="2023-05-23T00:00:00"/>
    <x v="4"/>
    <x v="0"/>
    <x v="3"/>
    <x v="2"/>
    <x v="3"/>
    <n v="2182.75"/>
    <n v="2504.0299999999902"/>
    <n v="19"/>
    <n v="47576.569999999811"/>
    <n v="6104.3199999998142"/>
    <x v="1"/>
    <x v="1"/>
    <x v="0"/>
  </r>
  <r>
    <d v="2023-05-23T00:00:00"/>
    <x v="4"/>
    <x v="0"/>
    <x v="3"/>
    <x v="0"/>
    <x v="1"/>
    <n v="2628.38"/>
    <n v="2644.54"/>
    <n v="49"/>
    <n v="129582.45999999999"/>
    <n v="791.83999999999287"/>
    <x v="0"/>
    <x v="0"/>
    <x v="0"/>
  </r>
  <r>
    <d v="2023-05-23T00:00:00"/>
    <x v="4"/>
    <x v="0"/>
    <x v="3"/>
    <x v="2"/>
    <x v="3"/>
    <n v="3559.56"/>
    <n v="3607.15"/>
    <n v="29"/>
    <n v="104607.35"/>
    <n v="1380.1100000000042"/>
    <x v="0"/>
    <x v="0"/>
    <x v="1"/>
  </r>
  <r>
    <d v="2023-05-24T00:00:00"/>
    <x v="4"/>
    <x v="0"/>
    <x v="0"/>
    <x v="1"/>
    <x v="3"/>
    <n v="3102.73"/>
    <n v="3202.68"/>
    <n v="13"/>
    <n v="41634.839999999997"/>
    <n v="1299.3499999999976"/>
    <x v="1"/>
    <x v="0"/>
    <x v="0"/>
  </r>
  <r>
    <d v="2023-05-25T00:00:00"/>
    <x v="4"/>
    <x v="0"/>
    <x v="0"/>
    <x v="0"/>
    <x v="0"/>
    <n v="1392.15"/>
    <n v="1448.54"/>
    <n v="2"/>
    <n v="2897.08"/>
    <n v="112.77999999999975"/>
    <x v="0"/>
    <x v="1"/>
    <x v="1"/>
  </r>
  <r>
    <d v="2023-05-25T00:00:00"/>
    <x v="4"/>
    <x v="0"/>
    <x v="4"/>
    <x v="0"/>
    <x v="0"/>
    <n v="3639.3"/>
    <n v="3750.63"/>
    <n v="24"/>
    <n v="90015.12"/>
    <n v="2671.9199999999983"/>
    <x v="1"/>
    <x v="1"/>
    <x v="1"/>
  </r>
  <r>
    <d v="2023-05-25T00:00:00"/>
    <x v="4"/>
    <x v="0"/>
    <x v="3"/>
    <x v="3"/>
    <x v="3"/>
    <n v="668.11"/>
    <n v="803.49"/>
    <n v="20"/>
    <n v="16069.8"/>
    <n v="2707.6"/>
    <x v="1"/>
    <x v="1"/>
    <x v="0"/>
  </r>
  <r>
    <d v="2023-05-26T00:00:00"/>
    <x v="4"/>
    <x v="0"/>
    <x v="3"/>
    <x v="3"/>
    <x v="2"/>
    <n v="1406.24"/>
    <n v="1535.57"/>
    <n v="1"/>
    <n v="1535.57"/>
    <n v="129.32999999999993"/>
    <x v="1"/>
    <x v="2"/>
    <x v="1"/>
  </r>
  <r>
    <d v="2023-05-26T00:00:00"/>
    <x v="4"/>
    <x v="0"/>
    <x v="2"/>
    <x v="1"/>
    <x v="1"/>
    <n v="1349.3"/>
    <n v="1576.69"/>
    <n v="2"/>
    <n v="3153.38"/>
    <n v="454.7800000000002"/>
    <x v="0"/>
    <x v="2"/>
    <x v="0"/>
  </r>
  <r>
    <d v="2023-05-27T00:00:00"/>
    <x v="4"/>
    <x v="0"/>
    <x v="4"/>
    <x v="1"/>
    <x v="2"/>
    <n v="4094.68"/>
    <n v="4576.5"/>
    <n v="7"/>
    <n v="32035.5"/>
    <n v="3372.7400000000011"/>
    <x v="1"/>
    <x v="0"/>
    <x v="1"/>
  </r>
  <r>
    <d v="2023-05-27T00:00:00"/>
    <x v="4"/>
    <x v="0"/>
    <x v="0"/>
    <x v="3"/>
    <x v="0"/>
    <n v="310.95999999999998"/>
    <n v="457.84"/>
    <n v="39"/>
    <n v="17855.759999999998"/>
    <n v="5728.32"/>
    <x v="1"/>
    <x v="2"/>
    <x v="0"/>
  </r>
  <r>
    <d v="2023-05-27T00:00:00"/>
    <x v="4"/>
    <x v="0"/>
    <x v="1"/>
    <x v="2"/>
    <x v="2"/>
    <n v="1084.73"/>
    <n v="1420.9"/>
    <n v="44"/>
    <n v="62519.600000000006"/>
    <n v="14791.480000000003"/>
    <x v="0"/>
    <x v="2"/>
    <x v="0"/>
  </r>
  <r>
    <d v="2023-05-27T00:00:00"/>
    <x v="4"/>
    <x v="0"/>
    <x v="0"/>
    <x v="2"/>
    <x v="3"/>
    <n v="3173.69"/>
    <n v="3503.11"/>
    <n v="2"/>
    <n v="7006.22"/>
    <n v="658.84000000000015"/>
    <x v="1"/>
    <x v="1"/>
    <x v="1"/>
  </r>
  <r>
    <d v="2023-05-28T00:00:00"/>
    <x v="4"/>
    <x v="0"/>
    <x v="3"/>
    <x v="0"/>
    <x v="3"/>
    <n v="4562.58"/>
    <n v="4925.17"/>
    <n v="11"/>
    <n v="54176.87"/>
    <n v="3988.4900000000016"/>
    <x v="1"/>
    <x v="0"/>
    <x v="1"/>
  </r>
  <r>
    <d v="2023-05-28T00:00:00"/>
    <x v="4"/>
    <x v="0"/>
    <x v="2"/>
    <x v="3"/>
    <x v="2"/>
    <n v="4867.6400000000003"/>
    <n v="5287.05"/>
    <n v="35"/>
    <n v="185046.75"/>
    <n v="14679.349999999995"/>
    <x v="0"/>
    <x v="2"/>
    <x v="0"/>
  </r>
  <r>
    <d v="2023-05-28T00:00:00"/>
    <x v="4"/>
    <x v="0"/>
    <x v="4"/>
    <x v="3"/>
    <x v="1"/>
    <n v="3907.86"/>
    <n v="4205.37"/>
    <n v="28"/>
    <n v="117750.36"/>
    <n v="8330.2799999999934"/>
    <x v="1"/>
    <x v="2"/>
    <x v="0"/>
  </r>
  <r>
    <d v="2023-05-28T00:00:00"/>
    <x v="4"/>
    <x v="0"/>
    <x v="4"/>
    <x v="0"/>
    <x v="1"/>
    <n v="3763.26"/>
    <n v="4102.72"/>
    <n v="6"/>
    <n v="24616.32"/>
    <n v="2036.7600000000002"/>
    <x v="1"/>
    <x v="2"/>
    <x v="1"/>
  </r>
  <r>
    <d v="2023-05-28T00:00:00"/>
    <x v="4"/>
    <x v="0"/>
    <x v="3"/>
    <x v="1"/>
    <x v="2"/>
    <n v="933.16"/>
    <n v="1004.69999999999"/>
    <n v="28"/>
    <n v="28131.599999999722"/>
    <n v="2003.119999999722"/>
    <x v="0"/>
    <x v="1"/>
    <x v="0"/>
  </r>
  <r>
    <d v="2023-05-29T00:00:00"/>
    <x v="4"/>
    <x v="0"/>
    <x v="0"/>
    <x v="0"/>
    <x v="1"/>
    <n v="959.73"/>
    <n v="1111.4100000000001"/>
    <n v="40"/>
    <n v="44456.4"/>
    <n v="6067.2000000000025"/>
    <x v="1"/>
    <x v="1"/>
    <x v="0"/>
  </r>
  <r>
    <d v="2023-05-29T00:00:00"/>
    <x v="4"/>
    <x v="0"/>
    <x v="4"/>
    <x v="0"/>
    <x v="2"/>
    <n v="300.01"/>
    <n v="477.67999999999898"/>
    <n v="30"/>
    <n v="14330.399999999969"/>
    <n v="5330.0999999999694"/>
    <x v="1"/>
    <x v="1"/>
    <x v="1"/>
  </r>
  <r>
    <d v="2023-05-29T00:00:00"/>
    <x v="4"/>
    <x v="0"/>
    <x v="1"/>
    <x v="1"/>
    <x v="1"/>
    <n v="3796.79"/>
    <n v="3947.5"/>
    <n v="14"/>
    <n v="55265"/>
    <n v="2109.9400000000005"/>
    <x v="0"/>
    <x v="1"/>
    <x v="0"/>
  </r>
  <r>
    <d v="2023-05-30T00:00:00"/>
    <x v="4"/>
    <x v="0"/>
    <x v="2"/>
    <x v="0"/>
    <x v="1"/>
    <n v="4024.76"/>
    <n v="4420.1499999999996"/>
    <n v="17"/>
    <n v="75142.549999999988"/>
    <n v="6721.6299999999901"/>
    <x v="0"/>
    <x v="0"/>
    <x v="0"/>
  </r>
  <r>
    <d v="2023-05-30T00:00:00"/>
    <x v="4"/>
    <x v="0"/>
    <x v="0"/>
    <x v="0"/>
    <x v="1"/>
    <n v="1393.58"/>
    <n v="1533.09"/>
    <n v="44"/>
    <n v="67455.959999999992"/>
    <n v="6138.44"/>
    <x v="0"/>
    <x v="2"/>
    <x v="1"/>
  </r>
  <r>
    <d v="2023-05-30T00:00:00"/>
    <x v="4"/>
    <x v="0"/>
    <x v="4"/>
    <x v="1"/>
    <x v="0"/>
    <n v="1656.82"/>
    <n v="1750.3799999999901"/>
    <n v="47"/>
    <n v="82267.859999999535"/>
    <n v="4397.3199999995377"/>
    <x v="1"/>
    <x v="2"/>
    <x v="0"/>
  </r>
  <r>
    <d v="2023-05-31T00:00:00"/>
    <x v="4"/>
    <x v="0"/>
    <x v="2"/>
    <x v="1"/>
    <x v="0"/>
    <n v="816.54"/>
    <n v="1191.9000000000001"/>
    <n v="8"/>
    <n v="9535.2000000000007"/>
    <n v="3002.880000000001"/>
    <x v="1"/>
    <x v="0"/>
    <x v="1"/>
  </r>
  <r>
    <d v="2023-06-01T00:00:00"/>
    <x v="5"/>
    <x v="0"/>
    <x v="1"/>
    <x v="3"/>
    <x v="1"/>
    <n v="1222.1500000000001"/>
    <n v="1284.3599999999999"/>
    <n v="16"/>
    <n v="20549.759999999998"/>
    <n v="995.35999999999694"/>
    <x v="0"/>
    <x v="2"/>
    <x v="1"/>
  </r>
  <r>
    <d v="2023-06-01T00:00:00"/>
    <x v="5"/>
    <x v="0"/>
    <x v="3"/>
    <x v="3"/>
    <x v="0"/>
    <n v="3637.25"/>
    <n v="4096.96"/>
    <n v="38"/>
    <n v="155684.48000000001"/>
    <n v="17468.980000000003"/>
    <x v="0"/>
    <x v="1"/>
    <x v="0"/>
  </r>
  <r>
    <d v="2023-06-01T00:00:00"/>
    <x v="5"/>
    <x v="0"/>
    <x v="2"/>
    <x v="3"/>
    <x v="2"/>
    <n v="2263.65"/>
    <n v="2558.9499999999998"/>
    <n v="9"/>
    <n v="23030.55"/>
    <n v="2657.6999999999975"/>
    <x v="1"/>
    <x v="0"/>
    <x v="0"/>
  </r>
  <r>
    <d v="2023-06-01T00:00:00"/>
    <x v="5"/>
    <x v="0"/>
    <x v="3"/>
    <x v="1"/>
    <x v="1"/>
    <n v="3756.06"/>
    <n v="4255.7299999999996"/>
    <n v="23"/>
    <n v="97881.79"/>
    <n v="11492.409999999991"/>
    <x v="0"/>
    <x v="0"/>
    <x v="0"/>
  </r>
  <r>
    <d v="2023-06-01T00:00:00"/>
    <x v="5"/>
    <x v="0"/>
    <x v="4"/>
    <x v="1"/>
    <x v="2"/>
    <n v="2038.4"/>
    <n v="2073.3200000000002"/>
    <n v="2"/>
    <n v="4146.6400000000003"/>
    <n v="69.840000000000146"/>
    <x v="1"/>
    <x v="0"/>
    <x v="1"/>
  </r>
  <r>
    <d v="2023-06-02T00:00:00"/>
    <x v="5"/>
    <x v="0"/>
    <x v="4"/>
    <x v="2"/>
    <x v="1"/>
    <n v="3604.93"/>
    <n v="3830.71"/>
    <n v="2"/>
    <n v="7661.42"/>
    <n v="451.5600000000004"/>
    <x v="0"/>
    <x v="2"/>
    <x v="0"/>
  </r>
  <r>
    <d v="2023-06-02T00:00:00"/>
    <x v="5"/>
    <x v="0"/>
    <x v="3"/>
    <x v="1"/>
    <x v="2"/>
    <n v="1878.3"/>
    <n v="2087.4499999999998"/>
    <n v="12"/>
    <n v="25049.399999999998"/>
    <n v="2509.7999999999984"/>
    <x v="1"/>
    <x v="1"/>
    <x v="1"/>
  </r>
  <r>
    <d v="2023-06-02T00:00:00"/>
    <x v="5"/>
    <x v="0"/>
    <x v="0"/>
    <x v="3"/>
    <x v="3"/>
    <n v="3462.61"/>
    <n v="3672.89"/>
    <n v="22"/>
    <n v="80803.58"/>
    <n v="4626.1599999999944"/>
    <x v="0"/>
    <x v="2"/>
    <x v="0"/>
  </r>
  <r>
    <d v="2023-06-02T00:00:00"/>
    <x v="5"/>
    <x v="0"/>
    <x v="3"/>
    <x v="2"/>
    <x v="1"/>
    <n v="287.17"/>
    <n v="657.44"/>
    <n v="47"/>
    <n v="30899.680000000004"/>
    <n v="17402.690000000002"/>
    <x v="0"/>
    <x v="2"/>
    <x v="1"/>
  </r>
  <r>
    <d v="2023-06-02T00:00:00"/>
    <x v="5"/>
    <x v="0"/>
    <x v="3"/>
    <x v="3"/>
    <x v="2"/>
    <n v="1595.35"/>
    <n v="1625.70999999999"/>
    <n v="3"/>
    <n v="4877.1299999999701"/>
    <n v="91.079999999970369"/>
    <x v="1"/>
    <x v="0"/>
    <x v="0"/>
  </r>
  <r>
    <d v="2023-06-03T00:00:00"/>
    <x v="5"/>
    <x v="0"/>
    <x v="2"/>
    <x v="2"/>
    <x v="0"/>
    <n v="1023.5"/>
    <n v="1164.4100000000001"/>
    <n v="46"/>
    <n v="53562.86"/>
    <n v="6481.8600000000042"/>
    <x v="0"/>
    <x v="2"/>
    <x v="1"/>
  </r>
  <r>
    <d v="2023-06-03T00:00:00"/>
    <x v="5"/>
    <x v="0"/>
    <x v="3"/>
    <x v="1"/>
    <x v="0"/>
    <n v="3380.14"/>
    <n v="3609.3399999999901"/>
    <n v="8"/>
    <n v="28874.719999999921"/>
    <n v="1833.5999999999221"/>
    <x v="0"/>
    <x v="2"/>
    <x v="0"/>
  </r>
  <r>
    <d v="2023-06-03T00:00:00"/>
    <x v="5"/>
    <x v="0"/>
    <x v="2"/>
    <x v="2"/>
    <x v="0"/>
    <n v="1434.2"/>
    <n v="1482.88"/>
    <n v="42"/>
    <n v="62280.960000000006"/>
    <n v="2044.5600000000027"/>
    <x v="1"/>
    <x v="2"/>
    <x v="1"/>
  </r>
  <r>
    <d v="2023-06-03T00:00:00"/>
    <x v="5"/>
    <x v="0"/>
    <x v="0"/>
    <x v="0"/>
    <x v="1"/>
    <n v="2055.4899999999998"/>
    <n v="2441.46"/>
    <n v="41"/>
    <n v="100099.86"/>
    <n v="15824.770000000011"/>
    <x v="1"/>
    <x v="2"/>
    <x v="0"/>
  </r>
  <r>
    <d v="2023-06-03T00:00:00"/>
    <x v="5"/>
    <x v="0"/>
    <x v="2"/>
    <x v="1"/>
    <x v="1"/>
    <n v="85.35"/>
    <n v="360.539999999999"/>
    <n v="47"/>
    <n v="16945.379999999954"/>
    <n v="12933.929999999955"/>
    <x v="1"/>
    <x v="0"/>
    <x v="0"/>
  </r>
  <r>
    <d v="2023-06-04T00:00:00"/>
    <x v="5"/>
    <x v="0"/>
    <x v="0"/>
    <x v="0"/>
    <x v="2"/>
    <n v="1296.44"/>
    <n v="1751.24"/>
    <n v="22"/>
    <n v="38527.279999999999"/>
    <n v="10005.599999999999"/>
    <x v="1"/>
    <x v="0"/>
    <x v="0"/>
  </r>
  <r>
    <d v="2023-06-04T00:00:00"/>
    <x v="5"/>
    <x v="0"/>
    <x v="3"/>
    <x v="1"/>
    <x v="1"/>
    <n v="2251.9499999999998"/>
    <n v="2626.3199999999902"/>
    <n v="14"/>
    <n v="36768.479999999865"/>
    <n v="5241.1799999998648"/>
    <x v="0"/>
    <x v="2"/>
    <x v="0"/>
  </r>
  <r>
    <d v="2023-06-05T00:00:00"/>
    <x v="5"/>
    <x v="0"/>
    <x v="1"/>
    <x v="3"/>
    <x v="0"/>
    <n v="1719.47"/>
    <n v="1832.6"/>
    <n v="15"/>
    <n v="27489"/>
    <n v="1696.9499999999982"/>
    <x v="0"/>
    <x v="2"/>
    <x v="0"/>
  </r>
  <r>
    <d v="2023-06-06T00:00:00"/>
    <x v="5"/>
    <x v="0"/>
    <x v="3"/>
    <x v="3"/>
    <x v="2"/>
    <n v="1701.62"/>
    <n v="2193.2199999999998"/>
    <n v="21"/>
    <n v="46057.619999999995"/>
    <n v="10323.599999999999"/>
    <x v="1"/>
    <x v="1"/>
    <x v="1"/>
  </r>
  <r>
    <d v="2023-06-06T00:00:00"/>
    <x v="5"/>
    <x v="0"/>
    <x v="4"/>
    <x v="3"/>
    <x v="3"/>
    <n v="108.99"/>
    <n v="351.6"/>
    <n v="32"/>
    <n v="11251.2"/>
    <n v="7763.52"/>
    <x v="0"/>
    <x v="2"/>
    <x v="1"/>
  </r>
  <r>
    <d v="2023-06-06T00:00:00"/>
    <x v="5"/>
    <x v="0"/>
    <x v="3"/>
    <x v="0"/>
    <x v="3"/>
    <n v="3115.06"/>
    <n v="3565.58"/>
    <n v="20"/>
    <n v="71311.600000000006"/>
    <n v="9010.4"/>
    <x v="0"/>
    <x v="2"/>
    <x v="1"/>
  </r>
  <r>
    <d v="2023-06-06T00:00:00"/>
    <x v="5"/>
    <x v="0"/>
    <x v="3"/>
    <x v="1"/>
    <x v="2"/>
    <n v="316.22000000000003"/>
    <n v="799.04"/>
    <n v="15"/>
    <n v="11985.599999999999"/>
    <n v="7242.2999999999993"/>
    <x v="1"/>
    <x v="1"/>
    <x v="0"/>
  </r>
  <r>
    <d v="2023-06-06T00:00:00"/>
    <x v="5"/>
    <x v="0"/>
    <x v="2"/>
    <x v="1"/>
    <x v="1"/>
    <n v="1967.96"/>
    <n v="1993.4"/>
    <n v="34"/>
    <n v="67775.600000000006"/>
    <n v="864.96000000000186"/>
    <x v="0"/>
    <x v="2"/>
    <x v="0"/>
  </r>
  <r>
    <d v="2023-06-07T00:00:00"/>
    <x v="5"/>
    <x v="0"/>
    <x v="4"/>
    <x v="0"/>
    <x v="2"/>
    <n v="2468.29"/>
    <n v="2723.13"/>
    <n v="3"/>
    <n v="8169.39"/>
    <n v="764.52000000000044"/>
    <x v="0"/>
    <x v="0"/>
    <x v="1"/>
  </r>
  <r>
    <d v="2023-06-07T00:00:00"/>
    <x v="5"/>
    <x v="0"/>
    <x v="4"/>
    <x v="1"/>
    <x v="3"/>
    <n v="4721.7"/>
    <n v="5017.58"/>
    <n v="4"/>
    <n v="20070.32"/>
    <n v="1183.5200000000004"/>
    <x v="1"/>
    <x v="0"/>
    <x v="1"/>
  </r>
  <r>
    <d v="2023-06-07T00:00:00"/>
    <x v="5"/>
    <x v="0"/>
    <x v="1"/>
    <x v="3"/>
    <x v="0"/>
    <n v="2254.11"/>
    <n v="2382.23"/>
    <n v="42"/>
    <n v="100053.66"/>
    <n v="5381.0399999999954"/>
    <x v="0"/>
    <x v="2"/>
    <x v="1"/>
  </r>
  <r>
    <d v="2023-06-07T00:00:00"/>
    <x v="5"/>
    <x v="0"/>
    <x v="1"/>
    <x v="3"/>
    <x v="3"/>
    <n v="1974.4"/>
    <n v="2259.5"/>
    <n v="31"/>
    <n v="70044.5"/>
    <n v="8838.0999999999967"/>
    <x v="1"/>
    <x v="0"/>
    <x v="1"/>
  </r>
  <r>
    <d v="2023-06-08T00:00:00"/>
    <x v="5"/>
    <x v="0"/>
    <x v="3"/>
    <x v="3"/>
    <x v="1"/>
    <n v="3457.28"/>
    <n v="3598.72"/>
    <n v="19"/>
    <n v="68375.679999999993"/>
    <n v="2687.3599999999924"/>
    <x v="1"/>
    <x v="1"/>
    <x v="0"/>
  </r>
  <r>
    <d v="2023-06-08T00:00:00"/>
    <x v="5"/>
    <x v="0"/>
    <x v="0"/>
    <x v="2"/>
    <x v="2"/>
    <n v="4812.41"/>
    <n v="5088"/>
    <n v="49"/>
    <n v="249312"/>
    <n v="13503.910000000007"/>
    <x v="0"/>
    <x v="2"/>
    <x v="0"/>
  </r>
  <r>
    <d v="2023-06-08T00:00:00"/>
    <x v="5"/>
    <x v="0"/>
    <x v="1"/>
    <x v="3"/>
    <x v="1"/>
    <n v="4567.3900000000003"/>
    <n v="4958.78"/>
    <n v="43"/>
    <n v="213227.53999999998"/>
    <n v="16829.769999999975"/>
    <x v="1"/>
    <x v="0"/>
    <x v="1"/>
  </r>
  <r>
    <d v="2023-06-09T00:00:00"/>
    <x v="5"/>
    <x v="0"/>
    <x v="1"/>
    <x v="3"/>
    <x v="1"/>
    <n v="4480.63"/>
    <n v="4884.12"/>
    <n v="35"/>
    <n v="170944.19999999998"/>
    <n v="14122.149999999992"/>
    <x v="1"/>
    <x v="0"/>
    <x v="0"/>
  </r>
  <r>
    <d v="2023-06-09T00:00:00"/>
    <x v="5"/>
    <x v="0"/>
    <x v="2"/>
    <x v="3"/>
    <x v="0"/>
    <n v="560.91999999999996"/>
    <n v="1024.31"/>
    <n v="18"/>
    <n v="18437.579999999998"/>
    <n v="8341.02"/>
    <x v="0"/>
    <x v="0"/>
    <x v="0"/>
  </r>
  <r>
    <d v="2023-06-09T00:00:00"/>
    <x v="5"/>
    <x v="0"/>
    <x v="3"/>
    <x v="1"/>
    <x v="3"/>
    <n v="86.59"/>
    <n v="390.89"/>
    <n v="38"/>
    <n v="14853.82"/>
    <n v="11563.399999999998"/>
    <x v="0"/>
    <x v="2"/>
    <x v="0"/>
  </r>
  <r>
    <d v="2023-06-10T00:00:00"/>
    <x v="5"/>
    <x v="0"/>
    <x v="4"/>
    <x v="0"/>
    <x v="1"/>
    <n v="3146.12"/>
    <n v="3255.5299999999902"/>
    <n v="2"/>
    <n v="6511.0599999999804"/>
    <n v="218.81999999998061"/>
    <x v="0"/>
    <x v="1"/>
    <x v="0"/>
  </r>
  <r>
    <d v="2023-06-10T00:00:00"/>
    <x v="5"/>
    <x v="0"/>
    <x v="0"/>
    <x v="3"/>
    <x v="0"/>
    <n v="498.27"/>
    <n v="634.16"/>
    <n v="15"/>
    <n v="9512.4"/>
    <n v="2038.35"/>
    <x v="0"/>
    <x v="2"/>
    <x v="1"/>
  </r>
  <r>
    <d v="2023-06-10T00:00:00"/>
    <x v="5"/>
    <x v="0"/>
    <x v="1"/>
    <x v="3"/>
    <x v="1"/>
    <n v="4643.67"/>
    <n v="4829.5200000000004"/>
    <n v="39"/>
    <n v="188351.28000000003"/>
    <n v="7248.1500000000142"/>
    <x v="0"/>
    <x v="1"/>
    <x v="0"/>
  </r>
  <r>
    <d v="2023-06-10T00:00:00"/>
    <x v="5"/>
    <x v="0"/>
    <x v="3"/>
    <x v="1"/>
    <x v="1"/>
    <n v="4668.1400000000003"/>
    <n v="5040.22"/>
    <n v="21"/>
    <n v="105844.62000000001"/>
    <n v="7813.6799999999985"/>
    <x v="1"/>
    <x v="1"/>
    <x v="0"/>
  </r>
  <r>
    <d v="2023-06-10T00:00:00"/>
    <x v="5"/>
    <x v="0"/>
    <x v="1"/>
    <x v="1"/>
    <x v="1"/>
    <n v="252.62"/>
    <n v="742"/>
    <n v="6"/>
    <n v="4452"/>
    <n v="2936.2799999999997"/>
    <x v="1"/>
    <x v="2"/>
    <x v="1"/>
  </r>
  <r>
    <d v="2023-06-11T00:00:00"/>
    <x v="5"/>
    <x v="0"/>
    <x v="4"/>
    <x v="0"/>
    <x v="1"/>
    <n v="890.31"/>
    <n v="1159.06"/>
    <n v="17"/>
    <n v="19704.02"/>
    <n v="4568.75"/>
    <x v="0"/>
    <x v="0"/>
    <x v="1"/>
  </r>
  <r>
    <d v="2023-06-11T00:00:00"/>
    <x v="5"/>
    <x v="0"/>
    <x v="2"/>
    <x v="3"/>
    <x v="3"/>
    <n v="3048.48"/>
    <n v="3198.54"/>
    <n v="8"/>
    <n v="25588.32"/>
    <n v="1200.4799999999996"/>
    <x v="0"/>
    <x v="1"/>
    <x v="0"/>
  </r>
  <r>
    <d v="2023-06-12T00:00:00"/>
    <x v="5"/>
    <x v="0"/>
    <x v="4"/>
    <x v="3"/>
    <x v="3"/>
    <n v="4298.12"/>
    <n v="4446.8999999999996"/>
    <n v="32"/>
    <n v="142300.79999999999"/>
    <n v="4760.9599999999919"/>
    <x v="1"/>
    <x v="1"/>
    <x v="0"/>
  </r>
  <r>
    <d v="2023-06-12T00:00:00"/>
    <x v="5"/>
    <x v="0"/>
    <x v="1"/>
    <x v="1"/>
    <x v="2"/>
    <n v="3177.81"/>
    <n v="3222.65"/>
    <n v="29"/>
    <n v="93456.85"/>
    <n v="1300.3600000000042"/>
    <x v="0"/>
    <x v="2"/>
    <x v="1"/>
  </r>
  <r>
    <d v="2023-06-13T00:00:00"/>
    <x v="5"/>
    <x v="0"/>
    <x v="1"/>
    <x v="2"/>
    <x v="0"/>
    <n v="3932.14"/>
    <n v="4082.7599999999902"/>
    <n v="5"/>
    <n v="20413.799999999952"/>
    <n v="753.09999999995171"/>
    <x v="1"/>
    <x v="2"/>
    <x v="0"/>
  </r>
  <r>
    <d v="2023-06-13T00:00:00"/>
    <x v="5"/>
    <x v="0"/>
    <x v="1"/>
    <x v="3"/>
    <x v="1"/>
    <n v="2162.9499999999998"/>
    <n v="2191.1899999999901"/>
    <n v="10"/>
    <n v="21911.8999999999"/>
    <n v="282.39999999990232"/>
    <x v="0"/>
    <x v="2"/>
    <x v="0"/>
  </r>
  <r>
    <d v="2023-06-14T00:00:00"/>
    <x v="5"/>
    <x v="0"/>
    <x v="4"/>
    <x v="0"/>
    <x v="0"/>
    <n v="1481.76"/>
    <n v="1668.95"/>
    <n v="9"/>
    <n v="15020.550000000001"/>
    <n v="1684.7100000000005"/>
    <x v="0"/>
    <x v="2"/>
    <x v="1"/>
  </r>
  <r>
    <d v="2023-06-14T00:00:00"/>
    <x v="5"/>
    <x v="0"/>
    <x v="0"/>
    <x v="0"/>
    <x v="0"/>
    <n v="1394.17"/>
    <n v="1891.02"/>
    <n v="24"/>
    <n v="45384.479999999996"/>
    <n v="11924.399999999998"/>
    <x v="1"/>
    <x v="2"/>
    <x v="0"/>
  </r>
  <r>
    <d v="2023-06-14T00:00:00"/>
    <x v="5"/>
    <x v="0"/>
    <x v="4"/>
    <x v="1"/>
    <x v="1"/>
    <n v="4456.67"/>
    <n v="4642.46"/>
    <n v="38"/>
    <n v="176413.48"/>
    <n v="7060.0199999999986"/>
    <x v="1"/>
    <x v="1"/>
    <x v="0"/>
  </r>
  <r>
    <d v="2023-06-15T00:00:00"/>
    <x v="5"/>
    <x v="0"/>
    <x v="4"/>
    <x v="3"/>
    <x v="1"/>
    <n v="3087.73"/>
    <n v="3263.96"/>
    <n v="13"/>
    <n v="42431.48"/>
    <n v="2290.9900000000002"/>
    <x v="1"/>
    <x v="0"/>
    <x v="1"/>
  </r>
  <r>
    <d v="2023-06-15T00:00:00"/>
    <x v="5"/>
    <x v="0"/>
    <x v="4"/>
    <x v="2"/>
    <x v="3"/>
    <n v="1089.0899999999999"/>
    <n v="1355.44"/>
    <n v="42"/>
    <n v="56928.480000000003"/>
    <n v="11186.700000000006"/>
    <x v="1"/>
    <x v="0"/>
    <x v="1"/>
  </r>
  <r>
    <d v="2023-06-15T00:00:00"/>
    <x v="5"/>
    <x v="0"/>
    <x v="2"/>
    <x v="0"/>
    <x v="2"/>
    <n v="4349.3599999999997"/>
    <n v="4645.17"/>
    <n v="35"/>
    <n v="162580.95000000001"/>
    <n v="10353.350000000013"/>
    <x v="0"/>
    <x v="2"/>
    <x v="1"/>
  </r>
  <r>
    <d v="2023-06-15T00:00:00"/>
    <x v="5"/>
    <x v="0"/>
    <x v="0"/>
    <x v="0"/>
    <x v="1"/>
    <n v="1749.34"/>
    <n v="1935.25"/>
    <n v="26"/>
    <n v="50316.5"/>
    <n v="4833.6600000000017"/>
    <x v="1"/>
    <x v="2"/>
    <x v="0"/>
  </r>
  <r>
    <d v="2023-06-17T00:00:00"/>
    <x v="5"/>
    <x v="0"/>
    <x v="1"/>
    <x v="0"/>
    <x v="1"/>
    <n v="2388.9499999999998"/>
    <n v="2742.97"/>
    <n v="6"/>
    <n v="16457.82"/>
    <n v="2124.12"/>
    <x v="0"/>
    <x v="2"/>
    <x v="1"/>
  </r>
  <r>
    <d v="2023-06-17T00:00:00"/>
    <x v="5"/>
    <x v="0"/>
    <x v="4"/>
    <x v="3"/>
    <x v="1"/>
    <n v="1447.45"/>
    <n v="1703.02"/>
    <n v="47"/>
    <n v="80041.94"/>
    <n v="12011.789999999997"/>
    <x v="0"/>
    <x v="1"/>
    <x v="1"/>
  </r>
  <r>
    <d v="2023-06-17T00:00:00"/>
    <x v="5"/>
    <x v="0"/>
    <x v="2"/>
    <x v="3"/>
    <x v="0"/>
    <n v="2792.2"/>
    <n v="3254.5499999999902"/>
    <n v="21"/>
    <n v="68345.549999999799"/>
    <n v="9709.3499999997985"/>
    <x v="1"/>
    <x v="2"/>
    <x v="1"/>
  </r>
  <r>
    <d v="2023-06-18T00:00:00"/>
    <x v="5"/>
    <x v="0"/>
    <x v="0"/>
    <x v="2"/>
    <x v="0"/>
    <n v="1543.91"/>
    <n v="1862.88"/>
    <n v="24"/>
    <n v="44709.120000000003"/>
    <n v="7655.2800000000007"/>
    <x v="1"/>
    <x v="1"/>
    <x v="0"/>
  </r>
  <r>
    <d v="2023-06-19T00:00:00"/>
    <x v="5"/>
    <x v="0"/>
    <x v="0"/>
    <x v="2"/>
    <x v="3"/>
    <n v="117.63"/>
    <n v="576.44000000000005"/>
    <n v="18"/>
    <n v="10375.920000000002"/>
    <n v="8258.5800000000017"/>
    <x v="1"/>
    <x v="2"/>
    <x v="1"/>
  </r>
  <r>
    <d v="2023-06-19T00:00:00"/>
    <x v="5"/>
    <x v="0"/>
    <x v="0"/>
    <x v="1"/>
    <x v="3"/>
    <n v="3196.38"/>
    <n v="3596.64"/>
    <n v="27"/>
    <n v="97109.28"/>
    <n v="10807.019999999993"/>
    <x v="1"/>
    <x v="0"/>
    <x v="1"/>
  </r>
  <r>
    <d v="2023-06-19T00:00:00"/>
    <x v="5"/>
    <x v="0"/>
    <x v="2"/>
    <x v="0"/>
    <x v="2"/>
    <n v="3835.64"/>
    <n v="4076.77"/>
    <n v="36"/>
    <n v="146763.72"/>
    <n v="8680.6800000000039"/>
    <x v="0"/>
    <x v="2"/>
    <x v="1"/>
  </r>
  <r>
    <d v="2023-06-20T00:00:00"/>
    <x v="5"/>
    <x v="0"/>
    <x v="4"/>
    <x v="1"/>
    <x v="0"/>
    <n v="325.75"/>
    <n v="803.71"/>
    <n v="47"/>
    <n v="37774.370000000003"/>
    <n v="22464.120000000003"/>
    <x v="1"/>
    <x v="1"/>
    <x v="1"/>
  </r>
  <r>
    <d v="2023-06-20T00:00:00"/>
    <x v="5"/>
    <x v="0"/>
    <x v="0"/>
    <x v="2"/>
    <x v="0"/>
    <n v="2614.48"/>
    <n v="3049.04"/>
    <n v="48"/>
    <n v="146353.91999999998"/>
    <n v="20858.879999999997"/>
    <x v="1"/>
    <x v="2"/>
    <x v="1"/>
  </r>
  <r>
    <d v="2023-06-21T00:00:00"/>
    <x v="5"/>
    <x v="0"/>
    <x v="0"/>
    <x v="0"/>
    <x v="0"/>
    <n v="1006.14"/>
    <n v="1043.45"/>
    <n v="28"/>
    <n v="29216.600000000002"/>
    <n v="1044.6800000000017"/>
    <x v="1"/>
    <x v="1"/>
    <x v="1"/>
  </r>
  <r>
    <d v="2023-06-21T00:00:00"/>
    <x v="5"/>
    <x v="0"/>
    <x v="3"/>
    <x v="2"/>
    <x v="2"/>
    <n v="984.53"/>
    <n v="1138.49"/>
    <n v="46"/>
    <n v="52370.54"/>
    <n v="7082.1600000000017"/>
    <x v="1"/>
    <x v="1"/>
    <x v="0"/>
  </r>
  <r>
    <d v="2023-06-22T00:00:00"/>
    <x v="5"/>
    <x v="0"/>
    <x v="0"/>
    <x v="1"/>
    <x v="2"/>
    <n v="2416.89"/>
    <n v="2778.3999999999901"/>
    <n v="39"/>
    <n v="108357.59999999961"/>
    <n v="14098.889999999617"/>
    <x v="0"/>
    <x v="0"/>
    <x v="0"/>
  </r>
  <r>
    <d v="2023-06-22T00:00:00"/>
    <x v="5"/>
    <x v="0"/>
    <x v="3"/>
    <x v="1"/>
    <x v="2"/>
    <n v="3997.1"/>
    <n v="4212.6499999999996"/>
    <n v="25"/>
    <n v="105316.24999999999"/>
    <n v="5388.7499999999927"/>
    <x v="1"/>
    <x v="0"/>
    <x v="0"/>
  </r>
  <r>
    <d v="2023-06-22T00:00:00"/>
    <x v="5"/>
    <x v="0"/>
    <x v="0"/>
    <x v="3"/>
    <x v="0"/>
    <n v="437.59"/>
    <n v="675.54"/>
    <n v="49"/>
    <n v="33101.46"/>
    <n v="11659.55"/>
    <x v="0"/>
    <x v="0"/>
    <x v="0"/>
  </r>
  <r>
    <d v="2023-06-22T00:00:00"/>
    <x v="5"/>
    <x v="0"/>
    <x v="0"/>
    <x v="0"/>
    <x v="1"/>
    <n v="4291.97"/>
    <n v="4645.6400000000003"/>
    <n v="49"/>
    <n v="227636.36000000002"/>
    <n v="17329.830000000002"/>
    <x v="0"/>
    <x v="2"/>
    <x v="0"/>
  </r>
  <r>
    <d v="2023-06-23T00:00:00"/>
    <x v="5"/>
    <x v="0"/>
    <x v="2"/>
    <x v="2"/>
    <x v="2"/>
    <n v="1456.09"/>
    <n v="1510.4299999999901"/>
    <n v="27"/>
    <n v="40781.609999999731"/>
    <n v="1467.1799999997338"/>
    <x v="0"/>
    <x v="0"/>
    <x v="1"/>
  </r>
  <r>
    <d v="2023-06-23T00:00:00"/>
    <x v="5"/>
    <x v="0"/>
    <x v="3"/>
    <x v="0"/>
    <x v="1"/>
    <n v="3435.68"/>
    <n v="3552.6299999999901"/>
    <n v="11"/>
    <n v="39078.929999999891"/>
    <n v="1286.449999999893"/>
    <x v="1"/>
    <x v="0"/>
    <x v="1"/>
  </r>
  <r>
    <d v="2023-06-24T00:00:00"/>
    <x v="5"/>
    <x v="0"/>
    <x v="4"/>
    <x v="2"/>
    <x v="2"/>
    <n v="4916.17"/>
    <n v="5309.32"/>
    <n v="24"/>
    <n v="127423.67999999999"/>
    <n v="9435.5999999999913"/>
    <x v="0"/>
    <x v="2"/>
    <x v="0"/>
  </r>
  <r>
    <d v="2023-06-24T00:00:00"/>
    <x v="5"/>
    <x v="0"/>
    <x v="4"/>
    <x v="0"/>
    <x v="0"/>
    <n v="3105.24"/>
    <n v="3246.33"/>
    <n v="43"/>
    <n v="139592.19"/>
    <n v="6066.8700000000063"/>
    <x v="1"/>
    <x v="0"/>
    <x v="0"/>
  </r>
  <r>
    <d v="2023-06-24T00:00:00"/>
    <x v="5"/>
    <x v="0"/>
    <x v="3"/>
    <x v="2"/>
    <x v="1"/>
    <n v="4133.92"/>
    <n v="4358.37"/>
    <n v="13"/>
    <n v="56658.81"/>
    <n v="2917.8499999999976"/>
    <x v="1"/>
    <x v="0"/>
    <x v="1"/>
  </r>
  <r>
    <d v="2023-06-25T00:00:00"/>
    <x v="5"/>
    <x v="0"/>
    <x v="4"/>
    <x v="2"/>
    <x v="2"/>
    <n v="3144.82"/>
    <n v="3480.58"/>
    <n v="2"/>
    <n v="6961.16"/>
    <n v="671.51999999999953"/>
    <x v="0"/>
    <x v="0"/>
    <x v="1"/>
  </r>
  <r>
    <d v="2023-06-25T00:00:00"/>
    <x v="5"/>
    <x v="0"/>
    <x v="4"/>
    <x v="2"/>
    <x v="2"/>
    <n v="566.86"/>
    <n v="818.14"/>
    <n v="10"/>
    <n v="8181.4"/>
    <n v="2512.7999999999997"/>
    <x v="0"/>
    <x v="2"/>
    <x v="1"/>
  </r>
  <r>
    <d v="2023-06-25T00:00:00"/>
    <x v="5"/>
    <x v="0"/>
    <x v="0"/>
    <x v="1"/>
    <x v="0"/>
    <n v="4920.34"/>
    <n v="5129.1899999999996"/>
    <n v="9"/>
    <n v="46162.71"/>
    <n v="1879.6499999999951"/>
    <x v="0"/>
    <x v="2"/>
    <x v="0"/>
  </r>
  <r>
    <d v="2023-06-26T00:00:00"/>
    <x v="5"/>
    <x v="0"/>
    <x v="1"/>
    <x v="0"/>
    <x v="2"/>
    <n v="3401.87"/>
    <n v="3733.71"/>
    <n v="3"/>
    <n v="11201.130000000001"/>
    <n v="995.52000000000044"/>
    <x v="0"/>
    <x v="1"/>
    <x v="1"/>
  </r>
  <r>
    <d v="2023-06-26T00:00:00"/>
    <x v="5"/>
    <x v="0"/>
    <x v="2"/>
    <x v="0"/>
    <x v="1"/>
    <n v="3861.61"/>
    <n v="3998.91"/>
    <n v="47"/>
    <n v="187948.77"/>
    <n v="6453.0999999999876"/>
    <x v="1"/>
    <x v="2"/>
    <x v="0"/>
  </r>
  <r>
    <d v="2023-06-26T00:00:00"/>
    <x v="5"/>
    <x v="0"/>
    <x v="4"/>
    <x v="0"/>
    <x v="0"/>
    <n v="2278.04"/>
    <n v="2598.58"/>
    <n v="21"/>
    <n v="54570.18"/>
    <n v="6731.3399999999992"/>
    <x v="0"/>
    <x v="2"/>
    <x v="1"/>
  </r>
  <r>
    <d v="2023-06-26T00:00:00"/>
    <x v="5"/>
    <x v="0"/>
    <x v="2"/>
    <x v="0"/>
    <x v="0"/>
    <n v="295.82"/>
    <n v="684.67"/>
    <n v="35"/>
    <n v="23963.449999999997"/>
    <n v="13609.749999999998"/>
    <x v="1"/>
    <x v="2"/>
    <x v="0"/>
  </r>
  <r>
    <d v="2023-06-26T00:00:00"/>
    <x v="5"/>
    <x v="0"/>
    <x v="0"/>
    <x v="0"/>
    <x v="1"/>
    <n v="3925.85"/>
    <n v="4082.1099999999901"/>
    <n v="35"/>
    <n v="142873.84999999966"/>
    <n v="5469.0999999996575"/>
    <x v="1"/>
    <x v="0"/>
    <x v="0"/>
  </r>
  <r>
    <d v="2023-06-27T00:00:00"/>
    <x v="5"/>
    <x v="0"/>
    <x v="4"/>
    <x v="2"/>
    <x v="2"/>
    <n v="2953.23"/>
    <n v="2977.52"/>
    <n v="2"/>
    <n v="5955.04"/>
    <n v="48.579999999999927"/>
    <x v="0"/>
    <x v="2"/>
    <x v="1"/>
  </r>
  <r>
    <d v="2023-06-27T00:00:00"/>
    <x v="5"/>
    <x v="0"/>
    <x v="1"/>
    <x v="0"/>
    <x v="2"/>
    <n v="1222.4000000000001"/>
    <n v="1464.71"/>
    <n v="19"/>
    <n v="27829.49"/>
    <n v="4603.8899999999994"/>
    <x v="1"/>
    <x v="2"/>
    <x v="1"/>
  </r>
  <r>
    <d v="2023-06-27T00:00:00"/>
    <x v="5"/>
    <x v="0"/>
    <x v="3"/>
    <x v="3"/>
    <x v="2"/>
    <n v="4394.58"/>
    <n v="4545.78"/>
    <n v="2"/>
    <n v="9091.56"/>
    <n v="302.39999999999964"/>
    <x v="0"/>
    <x v="2"/>
    <x v="1"/>
  </r>
  <r>
    <d v="2023-06-27T00:00:00"/>
    <x v="5"/>
    <x v="0"/>
    <x v="0"/>
    <x v="2"/>
    <x v="1"/>
    <n v="900.97"/>
    <n v="1321.18"/>
    <n v="35"/>
    <n v="46241.3"/>
    <n v="14707.350000000002"/>
    <x v="0"/>
    <x v="0"/>
    <x v="0"/>
  </r>
  <r>
    <d v="2023-06-28T00:00:00"/>
    <x v="5"/>
    <x v="0"/>
    <x v="3"/>
    <x v="2"/>
    <x v="1"/>
    <n v="4881.63"/>
    <n v="5088.0600000000004"/>
    <n v="38"/>
    <n v="193346.28000000003"/>
    <n v="7844.3400000000111"/>
    <x v="0"/>
    <x v="2"/>
    <x v="1"/>
  </r>
  <r>
    <d v="2023-06-28T00:00:00"/>
    <x v="5"/>
    <x v="0"/>
    <x v="0"/>
    <x v="3"/>
    <x v="0"/>
    <n v="4155.46"/>
    <n v="4273.6000000000004"/>
    <n v="9"/>
    <n v="38462.400000000001"/>
    <n v="1063.2600000000029"/>
    <x v="0"/>
    <x v="0"/>
    <x v="1"/>
  </r>
  <r>
    <d v="2023-06-28T00:00:00"/>
    <x v="5"/>
    <x v="0"/>
    <x v="3"/>
    <x v="0"/>
    <x v="2"/>
    <n v="1969.78"/>
    <n v="2437.6999999999998"/>
    <n v="13"/>
    <n v="31690.1"/>
    <n v="6082.9599999999982"/>
    <x v="1"/>
    <x v="2"/>
    <x v="1"/>
  </r>
  <r>
    <d v="2023-06-28T00:00:00"/>
    <x v="5"/>
    <x v="0"/>
    <x v="1"/>
    <x v="0"/>
    <x v="0"/>
    <n v="3736.88"/>
    <n v="3946.77"/>
    <n v="41"/>
    <n v="161817.57"/>
    <n v="8605.4899999999943"/>
    <x v="0"/>
    <x v="2"/>
    <x v="0"/>
  </r>
  <r>
    <d v="2023-06-29T00:00:00"/>
    <x v="5"/>
    <x v="0"/>
    <x v="0"/>
    <x v="1"/>
    <x v="3"/>
    <n v="4319.32"/>
    <n v="4625.5599999999904"/>
    <n v="48"/>
    <n v="222026.87999999954"/>
    <n v="14699.519999999553"/>
    <x v="0"/>
    <x v="1"/>
    <x v="0"/>
  </r>
  <r>
    <d v="2023-06-29T00:00:00"/>
    <x v="5"/>
    <x v="0"/>
    <x v="2"/>
    <x v="1"/>
    <x v="1"/>
    <n v="738.06"/>
    <n v="1095.44999999999"/>
    <n v="30"/>
    <n v="32863.499999999702"/>
    <n v="10721.699999999702"/>
    <x v="1"/>
    <x v="1"/>
    <x v="0"/>
  </r>
  <r>
    <d v="2023-06-30T00:00:00"/>
    <x v="5"/>
    <x v="0"/>
    <x v="0"/>
    <x v="0"/>
    <x v="0"/>
    <n v="2522.7600000000002"/>
    <n v="2840.14"/>
    <n v="6"/>
    <n v="17040.84"/>
    <n v="1904.2799999999979"/>
    <x v="0"/>
    <x v="2"/>
    <x v="1"/>
  </r>
  <r>
    <d v="2023-06-30T00:00:00"/>
    <x v="5"/>
    <x v="0"/>
    <x v="0"/>
    <x v="1"/>
    <x v="1"/>
    <n v="1339"/>
    <n v="1441.88"/>
    <n v="13"/>
    <n v="18744.440000000002"/>
    <n v="1337.4400000000014"/>
    <x v="0"/>
    <x v="2"/>
    <x v="1"/>
  </r>
  <r>
    <d v="2023-06-30T00:00:00"/>
    <x v="5"/>
    <x v="0"/>
    <x v="3"/>
    <x v="0"/>
    <x v="0"/>
    <n v="2245.64"/>
    <n v="2260.81"/>
    <n v="46"/>
    <n v="103997.26"/>
    <n v="697.82000000000335"/>
    <x v="1"/>
    <x v="0"/>
    <x v="1"/>
  </r>
  <r>
    <d v="2023-07-01T00:00:00"/>
    <x v="6"/>
    <x v="0"/>
    <x v="0"/>
    <x v="0"/>
    <x v="0"/>
    <n v="1615.26"/>
    <n v="1710.95"/>
    <n v="15"/>
    <n v="25664.25"/>
    <n v="1435.3500000000008"/>
    <x v="1"/>
    <x v="2"/>
    <x v="1"/>
  </r>
  <r>
    <d v="2023-07-01T00:00:00"/>
    <x v="6"/>
    <x v="0"/>
    <x v="4"/>
    <x v="2"/>
    <x v="1"/>
    <n v="1475"/>
    <n v="1840.77"/>
    <n v="17"/>
    <n v="31293.09"/>
    <n v="6218.09"/>
    <x v="0"/>
    <x v="2"/>
    <x v="0"/>
  </r>
  <r>
    <d v="2023-07-01T00:00:00"/>
    <x v="6"/>
    <x v="0"/>
    <x v="2"/>
    <x v="0"/>
    <x v="1"/>
    <n v="4496.8599999999997"/>
    <n v="4880.7999999999902"/>
    <n v="31"/>
    <n v="151304.7999999997"/>
    <n v="11902.139999999705"/>
    <x v="1"/>
    <x v="0"/>
    <x v="1"/>
  </r>
  <r>
    <d v="2023-07-02T00:00:00"/>
    <x v="6"/>
    <x v="0"/>
    <x v="2"/>
    <x v="3"/>
    <x v="0"/>
    <n v="4705.46"/>
    <n v="4747.07"/>
    <n v="7"/>
    <n v="33229.49"/>
    <n v="291.26999999999771"/>
    <x v="1"/>
    <x v="1"/>
    <x v="1"/>
  </r>
  <r>
    <d v="2023-07-02T00:00:00"/>
    <x v="6"/>
    <x v="0"/>
    <x v="4"/>
    <x v="0"/>
    <x v="2"/>
    <n v="689.66"/>
    <n v="1150.28"/>
    <n v="36"/>
    <n v="41410.080000000002"/>
    <n v="16582.32"/>
    <x v="1"/>
    <x v="1"/>
    <x v="0"/>
  </r>
  <r>
    <d v="2023-07-03T00:00:00"/>
    <x v="6"/>
    <x v="0"/>
    <x v="1"/>
    <x v="0"/>
    <x v="1"/>
    <n v="2579.31"/>
    <n v="2867.36"/>
    <n v="15"/>
    <n v="43010.400000000001"/>
    <n v="4320.7500000000027"/>
    <x v="0"/>
    <x v="1"/>
    <x v="1"/>
  </r>
  <r>
    <d v="2023-07-04T00:00:00"/>
    <x v="6"/>
    <x v="0"/>
    <x v="1"/>
    <x v="0"/>
    <x v="1"/>
    <n v="951.21"/>
    <n v="1320.32"/>
    <n v="31"/>
    <n v="40929.919999999998"/>
    <n v="11442.409999999996"/>
    <x v="1"/>
    <x v="0"/>
    <x v="0"/>
  </r>
  <r>
    <d v="2023-07-05T00:00:00"/>
    <x v="6"/>
    <x v="0"/>
    <x v="4"/>
    <x v="2"/>
    <x v="1"/>
    <n v="3624.97"/>
    <n v="3836.52"/>
    <n v="27"/>
    <n v="103586.04"/>
    <n v="5711.8500000000049"/>
    <x v="1"/>
    <x v="0"/>
    <x v="0"/>
  </r>
  <r>
    <d v="2023-07-06T00:00:00"/>
    <x v="6"/>
    <x v="0"/>
    <x v="1"/>
    <x v="3"/>
    <x v="2"/>
    <n v="200.56"/>
    <n v="540.38"/>
    <n v="11"/>
    <n v="5944.18"/>
    <n v="3738.02"/>
    <x v="1"/>
    <x v="1"/>
    <x v="0"/>
  </r>
  <r>
    <d v="2023-07-06T00:00:00"/>
    <x v="6"/>
    <x v="0"/>
    <x v="0"/>
    <x v="1"/>
    <x v="0"/>
    <n v="4195.38"/>
    <n v="4461.51"/>
    <n v="16"/>
    <n v="71384.160000000003"/>
    <n v="4258.0800000000017"/>
    <x v="0"/>
    <x v="1"/>
    <x v="0"/>
  </r>
  <r>
    <d v="2023-07-07T00:00:00"/>
    <x v="6"/>
    <x v="0"/>
    <x v="0"/>
    <x v="0"/>
    <x v="0"/>
    <n v="2278.87"/>
    <n v="2646.5299999999902"/>
    <n v="35"/>
    <n v="92628.549999999654"/>
    <n v="12868.09999999966"/>
    <x v="0"/>
    <x v="1"/>
    <x v="0"/>
  </r>
  <r>
    <d v="2023-07-07T00:00:00"/>
    <x v="6"/>
    <x v="0"/>
    <x v="0"/>
    <x v="3"/>
    <x v="3"/>
    <n v="4342.53"/>
    <n v="4357.49"/>
    <n v="13"/>
    <n v="56647.369999999995"/>
    <n v="194.48000000000047"/>
    <x v="1"/>
    <x v="1"/>
    <x v="0"/>
  </r>
  <r>
    <d v="2023-07-07T00:00:00"/>
    <x v="6"/>
    <x v="0"/>
    <x v="2"/>
    <x v="1"/>
    <x v="0"/>
    <n v="957.95"/>
    <n v="1329.26"/>
    <n v="15"/>
    <n v="19938.900000000001"/>
    <n v="5569.65"/>
    <x v="1"/>
    <x v="0"/>
    <x v="0"/>
  </r>
  <r>
    <d v="2023-07-07T00:00:00"/>
    <x v="6"/>
    <x v="0"/>
    <x v="1"/>
    <x v="2"/>
    <x v="3"/>
    <n v="4127.54"/>
    <n v="4495.13"/>
    <n v="14"/>
    <n v="62931.82"/>
    <n v="5146.260000000002"/>
    <x v="1"/>
    <x v="1"/>
    <x v="1"/>
  </r>
  <r>
    <d v="2023-07-07T00:00:00"/>
    <x v="6"/>
    <x v="0"/>
    <x v="4"/>
    <x v="1"/>
    <x v="1"/>
    <n v="2559.65"/>
    <n v="2709.4"/>
    <n v="14"/>
    <n v="37931.599999999999"/>
    <n v="2096.5"/>
    <x v="0"/>
    <x v="2"/>
    <x v="1"/>
  </r>
  <r>
    <d v="2023-07-08T00:00:00"/>
    <x v="6"/>
    <x v="0"/>
    <x v="4"/>
    <x v="3"/>
    <x v="2"/>
    <n v="1314"/>
    <n v="1567.78"/>
    <n v="23"/>
    <n v="36058.94"/>
    <n v="5836.94"/>
    <x v="0"/>
    <x v="2"/>
    <x v="1"/>
  </r>
  <r>
    <d v="2023-07-09T00:00:00"/>
    <x v="6"/>
    <x v="0"/>
    <x v="2"/>
    <x v="0"/>
    <x v="3"/>
    <n v="2564.35"/>
    <n v="2765.79"/>
    <n v="28"/>
    <n v="77442.12"/>
    <n v="5640.3200000000015"/>
    <x v="0"/>
    <x v="2"/>
    <x v="0"/>
  </r>
  <r>
    <d v="2023-07-10T00:00:00"/>
    <x v="6"/>
    <x v="0"/>
    <x v="2"/>
    <x v="0"/>
    <x v="3"/>
    <n v="4043.53"/>
    <n v="4384.8500000000004"/>
    <n v="36"/>
    <n v="157854.6"/>
    <n v="12287.520000000006"/>
    <x v="1"/>
    <x v="0"/>
    <x v="0"/>
  </r>
  <r>
    <d v="2023-07-11T00:00:00"/>
    <x v="6"/>
    <x v="0"/>
    <x v="1"/>
    <x v="2"/>
    <x v="2"/>
    <n v="2983.85"/>
    <n v="3239.74"/>
    <n v="40"/>
    <n v="129589.59999999999"/>
    <n v="10235.599999999995"/>
    <x v="1"/>
    <x v="2"/>
    <x v="0"/>
  </r>
  <r>
    <d v="2023-07-11T00:00:00"/>
    <x v="6"/>
    <x v="0"/>
    <x v="0"/>
    <x v="3"/>
    <x v="2"/>
    <n v="2595.42"/>
    <n v="3083.06"/>
    <n v="33"/>
    <n v="101740.98"/>
    <n v="16092.119999999995"/>
    <x v="1"/>
    <x v="2"/>
    <x v="0"/>
  </r>
  <r>
    <d v="2023-07-12T00:00:00"/>
    <x v="6"/>
    <x v="0"/>
    <x v="4"/>
    <x v="0"/>
    <x v="3"/>
    <n v="665.89"/>
    <n v="944.79"/>
    <n v="2"/>
    <n v="1889.58"/>
    <n v="557.79999999999995"/>
    <x v="1"/>
    <x v="2"/>
    <x v="1"/>
  </r>
  <r>
    <d v="2023-07-12T00:00:00"/>
    <x v="6"/>
    <x v="0"/>
    <x v="0"/>
    <x v="0"/>
    <x v="1"/>
    <n v="3850.99"/>
    <n v="4045.3399999999901"/>
    <n v="17"/>
    <n v="68770.779999999839"/>
    <n v="3303.9499999998361"/>
    <x v="0"/>
    <x v="2"/>
    <x v="0"/>
  </r>
  <r>
    <d v="2023-07-12T00:00:00"/>
    <x v="6"/>
    <x v="0"/>
    <x v="0"/>
    <x v="3"/>
    <x v="2"/>
    <n v="2703.97"/>
    <n v="2796.8799999999901"/>
    <n v="14"/>
    <n v="39156.319999999861"/>
    <n v="1300.7399999998643"/>
    <x v="1"/>
    <x v="1"/>
    <x v="0"/>
  </r>
  <r>
    <d v="2023-07-13T00:00:00"/>
    <x v="6"/>
    <x v="0"/>
    <x v="0"/>
    <x v="3"/>
    <x v="0"/>
    <n v="1067.83"/>
    <n v="1189.22"/>
    <n v="16"/>
    <n v="19027.52"/>
    <n v="1942.2400000000016"/>
    <x v="0"/>
    <x v="2"/>
    <x v="1"/>
  </r>
  <r>
    <d v="2023-07-13T00:00:00"/>
    <x v="6"/>
    <x v="0"/>
    <x v="3"/>
    <x v="2"/>
    <x v="1"/>
    <n v="4154.3"/>
    <n v="4469.07"/>
    <n v="43"/>
    <n v="192170.00999999998"/>
    <n v="13535.109999999979"/>
    <x v="0"/>
    <x v="0"/>
    <x v="1"/>
  </r>
  <r>
    <d v="2023-07-13T00:00:00"/>
    <x v="6"/>
    <x v="0"/>
    <x v="4"/>
    <x v="1"/>
    <x v="3"/>
    <n v="4429.8"/>
    <n v="4694.21"/>
    <n v="47"/>
    <n v="220627.87"/>
    <n v="12427.269999999993"/>
    <x v="1"/>
    <x v="1"/>
    <x v="0"/>
  </r>
  <r>
    <d v="2023-07-14T00:00:00"/>
    <x v="6"/>
    <x v="0"/>
    <x v="3"/>
    <x v="1"/>
    <x v="3"/>
    <n v="3240.2"/>
    <n v="3606.0899999999901"/>
    <n v="22"/>
    <n v="79333.979999999778"/>
    <n v="8049.5799999997871"/>
    <x v="1"/>
    <x v="0"/>
    <x v="0"/>
  </r>
  <r>
    <d v="2023-07-14T00:00:00"/>
    <x v="6"/>
    <x v="0"/>
    <x v="3"/>
    <x v="3"/>
    <x v="0"/>
    <n v="4929.7299999999996"/>
    <n v="5088.0199999999904"/>
    <n v="39"/>
    <n v="198432.77999999962"/>
    <n v="6173.3099999996439"/>
    <x v="1"/>
    <x v="1"/>
    <x v="1"/>
  </r>
  <r>
    <d v="2023-07-14T00:00:00"/>
    <x v="6"/>
    <x v="0"/>
    <x v="0"/>
    <x v="0"/>
    <x v="0"/>
    <n v="2530.15"/>
    <n v="2568.13"/>
    <n v="16"/>
    <n v="41090.080000000002"/>
    <n v="607.68000000000029"/>
    <x v="1"/>
    <x v="2"/>
    <x v="0"/>
  </r>
  <r>
    <d v="2023-07-15T00:00:00"/>
    <x v="6"/>
    <x v="0"/>
    <x v="2"/>
    <x v="0"/>
    <x v="2"/>
    <n v="1771.52"/>
    <n v="2147.8000000000002"/>
    <n v="23"/>
    <n v="49399.4"/>
    <n v="8654.4400000000041"/>
    <x v="1"/>
    <x v="1"/>
    <x v="0"/>
  </r>
  <r>
    <d v="2023-07-15T00:00:00"/>
    <x v="6"/>
    <x v="0"/>
    <x v="1"/>
    <x v="3"/>
    <x v="3"/>
    <n v="3002.35"/>
    <n v="3080.61"/>
    <n v="48"/>
    <n v="147869.28"/>
    <n v="3756.4800000000105"/>
    <x v="0"/>
    <x v="1"/>
    <x v="1"/>
  </r>
  <r>
    <d v="2023-07-16T00:00:00"/>
    <x v="6"/>
    <x v="0"/>
    <x v="4"/>
    <x v="1"/>
    <x v="1"/>
    <n v="1069.73"/>
    <n v="1180.04"/>
    <n v="18"/>
    <n v="21240.720000000001"/>
    <n v="1985.579999999999"/>
    <x v="0"/>
    <x v="1"/>
    <x v="0"/>
  </r>
  <r>
    <d v="2023-07-17T00:00:00"/>
    <x v="6"/>
    <x v="0"/>
    <x v="0"/>
    <x v="2"/>
    <x v="2"/>
    <n v="1729.14"/>
    <n v="1870.88"/>
    <n v="15"/>
    <n v="28063.200000000001"/>
    <n v="2126.1000000000004"/>
    <x v="0"/>
    <x v="0"/>
    <x v="0"/>
  </r>
  <r>
    <d v="2023-07-17T00:00:00"/>
    <x v="6"/>
    <x v="0"/>
    <x v="2"/>
    <x v="1"/>
    <x v="0"/>
    <n v="1614.19"/>
    <n v="1882.79"/>
    <n v="14"/>
    <n v="26359.059999999998"/>
    <n v="3760.3999999999987"/>
    <x v="1"/>
    <x v="2"/>
    <x v="1"/>
  </r>
  <r>
    <d v="2023-07-17T00:00:00"/>
    <x v="6"/>
    <x v="0"/>
    <x v="2"/>
    <x v="2"/>
    <x v="0"/>
    <n v="3049.33"/>
    <n v="3209.22"/>
    <n v="19"/>
    <n v="60975.179999999993"/>
    <n v="3037.9099999999976"/>
    <x v="0"/>
    <x v="0"/>
    <x v="0"/>
  </r>
  <r>
    <d v="2023-07-17T00:00:00"/>
    <x v="6"/>
    <x v="0"/>
    <x v="1"/>
    <x v="0"/>
    <x v="0"/>
    <n v="845.14"/>
    <n v="1001.77"/>
    <n v="31"/>
    <n v="31054.87"/>
    <n v="4855.53"/>
    <x v="1"/>
    <x v="0"/>
    <x v="0"/>
  </r>
  <r>
    <d v="2023-07-17T00:00:00"/>
    <x v="6"/>
    <x v="0"/>
    <x v="2"/>
    <x v="0"/>
    <x v="2"/>
    <n v="1350.47"/>
    <n v="1514.61"/>
    <n v="14"/>
    <n v="21204.539999999997"/>
    <n v="2297.9599999999982"/>
    <x v="1"/>
    <x v="2"/>
    <x v="1"/>
  </r>
  <r>
    <d v="2023-07-18T00:00:00"/>
    <x v="6"/>
    <x v="0"/>
    <x v="4"/>
    <x v="0"/>
    <x v="0"/>
    <n v="4745.18"/>
    <n v="5145.88"/>
    <n v="12"/>
    <n v="61750.559999999998"/>
    <n v="4808.3999999999978"/>
    <x v="0"/>
    <x v="2"/>
    <x v="0"/>
  </r>
  <r>
    <d v="2023-07-18T00:00:00"/>
    <x v="6"/>
    <x v="0"/>
    <x v="0"/>
    <x v="1"/>
    <x v="1"/>
    <n v="4834.47"/>
    <n v="4973.38"/>
    <n v="43"/>
    <n v="213855.34"/>
    <n v="5973.1299999999937"/>
    <x v="0"/>
    <x v="1"/>
    <x v="0"/>
  </r>
  <r>
    <d v="2023-07-18T00:00:00"/>
    <x v="6"/>
    <x v="0"/>
    <x v="0"/>
    <x v="1"/>
    <x v="2"/>
    <n v="417.96"/>
    <n v="907.63"/>
    <n v="42"/>
    <n v="38120.46"/>
    <n v="20566.14"/>
    <x v="1"/>
    <x v="0"/>
    <x v="1"/>
  </r>
  <r>
    <d v="2023-07-19T00:00:00"/>
    <x v="6"/>
    <x v="0"/>
    <x v="1"/>
    <x v="0"/>
    <x v="2"/>
    <n v="2940.4"/>
    <n v="3054.79"/>
    <n v="10"/>
    <n v="30547.9"/>
    <n v="1143.8999999999987"/>
    <x v="0"/>
    <x v="2"/>
    <x v="0"/>
  </r>
  <r>
    <d v="2023-07-19T00:00:00"/>
    <x v="6"/>
    <x v="0"/>
    <x v="1"/>
    <x v="2"/>
    <x v="1"/>
    <n v="2387.63"/>
    <n v="2438.9699999999998"/>
    <n v="10"/>
    <n v="24389.699999999997"/>
    <n v="513.39999999999691"/>
    <x v="0"/>
    <x v="1"/>
    <x v="1"/>
  </r>
  <r>
    <d v="2023-07-20T00:00:00"/>
    <x v="6"/>
    <x v="0"/>
    <x v="0"/>
    <x v="2"/>
    <x v="1"/>
    <n v="4111.7"/>
    <n v="4537.9399999999996"/>
    <n v="43"/>
    <n v="195131.41999999998"/>
    <n v="18328.319999999992"/>
    <x v="0"/>
    <x v="1"/>
    <x v="0"/>
  </r>
  <r>
    <d v="2023-07-20T00:00:00"/>
    <x v="6"/>
    <x v="0"/>
    <x v="0"/>
    <x v="0"/>
    <x v="2"/>
    <n v="1679.69"/>
    <n v="1939.04"/>
    <n v="48"/>
    <n v="93073.919999999998"/>
    <n v="12448.799999999996"/>
    <x v="1"/>
    <x v="2"/>
    <x v="0"/>
  </r>
  <r>
    <d v="2023-07-20T00:00:00"/>
    <x v="6"/>
    <x v="0"/>
    <x v="3"/>
    <x v="0"/>
    <x v="3"/>
    <n v="1057.27"/>
    <n v="1366.62"/>
    <n v="17"/>
    <n v="23232.539999999997"/>
    <n v="5258.9499999999989"/>
    <x v="1"/>
    <x v="2"/>
    <x v="1"/>
  </r>
  <r>
    <d v="2023-07-21T00:00:00"/>
    <x v="6"/>
    <x v="0"/>
    <x v="2"/>
    <x v="3"/>
    <x v="3"/>
    <n v="172.59"/>
    <n v="404.69"/>
    <n v="1"/>
    <n v="404.69"/>
    <n v="232.1"/>
    <x v="0"/>
    <x v="1"/>
    <x v="0"/>
  </r>
  <r>
    <d v="2023-07-21T00:00:00"/>
    <x v="6"/>
    <x v="0"/>
    <x v="0"/>
    <x v="0"/>
    <x v="0"/>
    <n v="1532.8"/>
    <n v="1619.69"/>
    <n v="4"/>
    <n v="6478.76"/>
    <n v="347.5600000000004"/>
    <x v="0"/>
    <x v="1"/>
    <x v="1"/>
  </r>
  <r>
    <d v="2023-07-21T00:00:00"/>
    <x v="6"/>
    <x v="0"/>
    <x v="3"/>
    <x v="3"/>
    <x v="2"/>
    <n v="975.31"/>
    <n v="1176.17"/>
    <n v="32"/>
    <n v="37637.440000000002"/>
    <n v="6427.5200000000041"/>
    <x v="1"/>
    <x v="1"/>
    <x v="1"/>
  </r>
  <r>
    <d v="2023-07-21T00:00:00"/>
    <x v="6"/>
    <x v="0"/>
    <x v="1"/>
    <x v="3"/>
    <x v="1"/>
    <n v="868.83"/>
    <n v="1177.75"/>
    <n v="4"/>
    <n v="4711"/>
    <n v="1235.6799999999998"/>
    <x v="0"/>
    <x v="2"/>
    <x v="1"/>
  </r>
  <r>
    <d v="2023-07-22T00:00:00"/>
    <x v="6"/>
    <x v="0"/>
    <x v="4"/>
    <x v="3"/>
    <x v="0"/>
    <n v="3120.19"/>
    <n v="3600.14"/>
    <n v="42"/>
    <n v="151205.88"/>
    <n v="20157.899999999994"/>
    <x v="0"/>
    <x v="2"/>
    <x v="1"/>
  </r>
  <r>
    <d v="2023-07-23T00:00:00"/>
    <x v="6"/>
    <x v="0"/>
    <x v="1"/>
    <x v="2"/>
    <x v="2"/>
    <n v="4208.09"/>
    <n v="4226.5600000000004"/>
    <n v="26"/>
    <n v="109890.56000000001"/>
    <n v="480.22000000000662"/>
    <x v="0"/>
    <x v="0"/>
    <x v="1"/>
  </r>
  <r>
    <d v="2023-07-23T00:00:00"/>
    <x v="6"/>
    <x v="0"/>
    <x v="3"/>
    <x v="2"/>
    <x v="1"/>
    <n v="2344.9299999999998"/>
    <n v="2707.25"/>
    <n v="35"/>
    <n v="94753.75"/>
    <n v="12681.200000000006"/>
    <x v="1"/>
    <x v="2"/>
    <x v="1"/>
  </r>
  <r>
    <d v="2023-07-24T00:00:00"/>
    <x v="6"/>
    <x v="0"/>
    <x v="4"/>
    <x v="1"/>
    <x v="2"/>
    <n v="4055.51"/>
    <n v="4258.84"/>
    <n v="19"/>
    <n v="80917.960000000006"/>
    <n v="3863.2699999999986"/>
    <x v="0"/>
    <x v="2"/>
    <x v="0"/>
  </r>
  <r>
    <d v="2023-07-25T00:00:00"/>
    <x v="6"/>
    <x v="0"/>
    <x v="0"/>
    <x v="2"/>
    <x v="3"/>
    <n v="2206.58"/>
    <n v="2490.4699999999998"/>
    <n v="5"/>
    <n v="12452.349999999999"/>
    <n v="1419.4499999999994"/>
    <x v="1"/>
    <x v="0"/>
    <x v="0"/>
  </r>
  <r>
    <d v="2023-07-25T00:00:00"/>
    <x v="6"/>
    <x v="0"/>
    <x v="1"/>
    <x v="3"/>
    <x v="1"/>
    <n v="3484.62"/>
    <n v="3781.5499999999902"/>
    <n v="19"/>
    <n v="71849.449999999808"/>
    <n v="5641.6699999998154"/>
    <x v="0"/>
    <x v="2"/>
    <x v="1"/>
  </r>
  <r>
    <d v="2023-07-26T00:00:00"/>
    <x v="6"/>
    <x v="0"/>
    <x v="2"/>
    <x v="0"/>
    <x v="2"/>
    <n v="4680.3500000000004"/>
    <n v="4758.1099999999997"/>
    <n v="9"/>
    <n v="42822.99"/>
    <n v="699.83999999999378"/>
    <x v="0"/>
    <x v="1"/>
    <x v="0"/>
  </r>
  <r>
    <d v="2023-07-27T00:00:00"/>
    <x v="6"/>
    <x v="0"/>
    <x v="2"/>
    <x v="1"/>
    <x v="2"/>
    <n v="987.74"/>
    <n v="1462.19"/>
    <n v="44"/>
    <n v="64336.36"/>
    <n v="20875.800000000003"/>
    <x v="1"/>
    <x v="1"/>
    <x v="0"/>
  </r>
  <r>
    <d v="2023-07-27T00:00:00"/>
    <x v="6"/>
    <x v="0"/>
    <x v="0"/>
    <x v="0"/>
    <x v="0"/>
    <n v="902.38"/>
    <n v="1128.9100000000001"/>
    <n v="3"/>
    <n v="3386.7300000000005"/>
    <n v="679.59000000000026"/>
    <x v="1"/>
    <x v="1"/>
    <x v="1"/>
  </r>
  <r>
    <d v="2023-07-28T00:00:00"/>
    <x v="6"/>
    <x v="0"/>
    <x v="2"/>
    <x v="2"/>
    <x v="2"/>
    <n v="1115.02"/>
    <n v="1174.48"/>
    <n v="37"/>
    <n v="43455.76"/>
    <n v="2200.0200000000013"/>
    <x v="1"/>
    <x v="2"/>
    <x v="0"/>
  </r>
  <r>
    <d v="2023-07-28T00:00:00"/>
    <x v="6"/>
    <x v="0"/>
    <x v="2"/>
    <x v="3"/>
    <x v="0"/>
    <n v="4622.1400000000003"/>
    <n v="5122.07"/>
    <n v="20"/>
    <n v="102441.4"/>
    <n v="9998.5999999999876"/>
    <x v="1"/>
    <x v="0"/>
    <x v="1"/>
  </r>
  <r>
    <d v="2023-07-28T00:00:00"/>
    <x v="6"/>
    <x v="0"/>
    <x v="4"/>
    <x v="3"/>
    <x v="3"/>
    <n v="3380.52"/>
    <n v="3778.94"/>
    <n v="48"/>
    <n v="181389.12"/>
    <n v="19124.160000000003"/>
    <x v="0"/>
    <x v="1"/>
    <x v="0"/>
  </r>
  <r>
    <d v="2023-07-29T00:00:00"/>
    <x v="6"/>
    <x v="0"/>
    <x v="4"/>
    <x v="0"/>
    <x v="2"/>
    <n v="1512.34"/>
    <n v="1830.76"/>
    <n v="47"/>
    <n v="86045.72"/>
    <n v="14965.740000000003"/>
    <x v="1"/>
    <x v="1"/>
    <x v="0"/>
  </r>
  <r>
    <d v="2023-07-29T00:00:00"/>
    <x v="6"/>
    <x v="0"/>
    <x v="3"/>
    <x v="1"/>
    <x v="1"/>
    <n v="4287.21"/>
    <n v="4464.28"/>
    <n v="16"/>
    <n v="71428.479999999996"/>
    <n v="2833.1199999999953"/>
    <x v="0"/>
    <x v="2"/>
    <x v="1"/>
  </r>
  <r>
    <d v="2023-07-29T00:00:00"/>
    <x v="6"/>
    <x v="0"/>
    <x v="0"/>
    <x v="3"/>
    <x v="3"/>
    <n v="1102.69"/>
    <n v="1437.12"/>
    <n v="46"/>
    <n v="66107.51999999999"/>
    <n v="15383.779999999992"/>
    <x v="1"/>
    <x v="2"/>
    <x v="0"/>
  </r>
  <r>
    <d v="2023-07-29T00:00:00"/>
    <x v="6"/>
    <x v="0"/>
    <x v="1"/>
    <x v="2"/>
    <x v="2"/>
    <n v="3955.66"/>
    <n v="4270.59"/>
    <n v="38"/>
    <n v="162282.42000000001"/>
    <n v="11967.340000000011"/>
    <x v="0"/>
    <x v="2"/>
    <x v="0"/>
  </r>
  <r>
    <d v="2023-07-30T00:00:00"/>
    <x v="6"/>
    <x v="0"/>
    <x v="4"/>
    <x v="0"/>
    <x v="1"/>
    <n v="1945.27"/>
    <n v="2309.4299999999998"/>
    <n v="6"/>
    <n v="13856.579999999998"/>
    <n v="2184.9599999999991"/>
    <x v="1"/>
    <x v="2"/>
    <x v="0"/>
  </r>
  <r>
    <d v="2023-07-30T00:00:00"/>
    <x v="6"/>
    <x v="0"/>
    <x v="0"/>
    <x v="3"/>
    <x v="1"/>
    <n v="4384.6400000000003"/>
    <n v="4693.8999999999996"/>
    <n v="1"/>
    <n v="4693.8999999999996"/>
    <n v="309.25999999999931"/>
    <x v="1"/>
    <x v="0"/>
    <x v="1"/>
  </r>
  <r>
    <d v="2023-07-31T00:00:00"/>
    <x v="6"/>
    <x v="0"/>
    <x v="2"/>
    <x v="3"/>
    <x v="0"/>
    <n v="4138.41"/>
    <n v="4361.7"/>
    <n v="21"/>
    <n v="91595.7"/>
    <n v="4689.0899999999992"/>
    <x v="0"/>
    <x v="2"/>
    <x v="1"/>
  </r>
  <r>
    <d v="2023-08-01T00:00:00"/>
    <x v="7"/>
    <x v="0"/>
    <x v="0"/>
    <x v="2"/>
    <x v="0"/>
    <n v="2919"/>
    <n v="3125.01"/>
    <n v="36"/>
    <n v="112500.36000000002"/>
    <n v="7416.3600000000079"/>
    <x v="1"/>
    <x v="0"/>
    <x v="0"/>
  </r>
  <r>
    <d v="2023-08-01T00:00:00"/>
    <x v="7"/>
    <x v="0"/>
    <x v="3"/>
    <x v="1"/>
    <x v="2"/>
    <n v="1046.26"/>
    <n v="1475.29"/>
    <n v="4"/>
    <n v="5901.16"/>
    <n v="1716.12"/>
    <x v="0"/>
    <x v="1"/>
    <x v="1"/>
  </r>
  <r>
    <d v="2023-08-02T00:00:00"/>
    <x v="7"/>
    <x v="0"/>
    <x v="0"/>
    <x v="1"/>
    <x v="1"/>
    <n v="4609.66"/>
    <n v="4879.1499999999996"/>
    <n v="46"/>
    <n v="224440.9"/>
    <n v="12396.53999999999"/>
    <x v="0"/>
    <x v="0"/>
    <x v="1"/>
  </r>
  <r>
    <d v="2023-08-02T00:00:00"/>
    <x v="7"/>
    <x v="0"/>
    <x v="4"/>
    <x v="3"/>
    <x v="1"/>
    <n v="3031.17"/>
    <n v="3231.32"/>
    <n v="43"/>
    <n v="138946.76"/>
    <n v="8606.4500000000044"/>
    <x v="0"/>
    <x v="0"/>
    <x v="1"/>
  </r>
  <r>
    <d v="2023-08-02T00:00:00"/>
    <x v="7"/>
    <x v="0"/>
    <x v="3"/>
    <x v="0"/>
    <x v="2"/>
    <n v="3969.86"/>
    <n v="4281.79"/>
    <n v="30"/>
    <n v="128453.7"/>
    <n v="9357.8999999999942"/>
    <x v="0"/>
    <x v="1"/>
    <x v="1"/>
  </r>
  <r>
    <d v="2023-08-03T00:00:00"/>
    <x v="7"/>
    <x v="0"/>
    <x v="3"/>
    <x v="2"/>
    <x v="3"/>
    <n v="2153.52"/>
    <n v="2303.6999999999998"/>
    <n v="20"/>
    <n v="46074"/>
    <n v="3003.5999999999967"/>
    <x v="0"/>
    <x v="0"/>
    <x v="1"/>
  </r>
  <r>
    <d v="2023-08-03T00:00:00"/>
    <x v="7"/>
    <x v="0"/>
    <x v="4"/>
    <x v="1"/>
    <x v="1"/>
    <n v="2872.4"/>
    <n v="3193.76"/>
    <n v="16"/>
    <n v="51100.160000000003"/>
    <n v="5141.760000000002"/>
    <x v="0"/>
    <x v="2"/>
    <x v="0"/>
  </r>
  <r>
    <d v="2023-08-03T00:00:00"/>
    <x v="7"/>
    <x v="0"/>
    <x v="4"/>
    <x v="2"/>
    <x v="1"/>
    <n v="4457.68"/>
    <n v="4743.03"/>
    <n v="16"/>
    <n v="75888.479999999996"/>
    <n v="4565.5999999999913"/>
    <x v="0"/>
    <x v="0"/>
    <x v="0"/>
  </r>
  <r>
    <d v="2023-08-03T00:00:00"/>
    <x v="7"/>
    <x v="0"/>
    <x v="2"/>
    <x v="2"/>
    <x v="3"/>
    <n v="4692.24"/>
    <n v="4825.92"/>
    <n v="45"/>
    <n v="217166.4"/>
    <n v="6015.6000000000131"/>
    <x v="0"/>
    <x v="1"/>
    <x v="1"/>
  </r>
  <r>
    <d v="2023-08-03T00:00:00"/>
    <x v="7"/>
    <x v="0"/>
    <x v="4"/>
    <x v="2"/>
    <x v="3"/>
    <n v="541.19000000000005"/>
    <n v="595.20000000000005"/>
    <n v="40"/>
    <n v="23808"/>
    <n v="2160.3999999999996"/>
    <x v="0"/>
    <x v="2"/>
    <x v="0"/>
  </r>
  <r>
    <d v="2023-08-03T00:00:00"/>
    <x v="7"/>
    <x v="0"/>
    <x v="2"/>
    <x v="3"/>
    <x v="2"/>
    <n v="4260"/>
    <n v="4656.58"/>
    <n v="22"/>
    <n v="102444.76"/>
    <n v="8724.7599999999984"/>
    <x v="1"/>
    <x v="1"/>
    <x v="0"/>
  </r>
  <r>
    <d v="2023-08-04T00:00:00"/>
    <x v="7"/>
    <x v="0"/>
    <x v="2"/>
    <x v="2"/>
    <x v="3"/>
    <n v="3279.76"/>
    <n v="3563.97"/>
    <n v="20"/>
    <n v="71279.399999999994"/>
    <n v="5684.1999999999916"/>
    <x v="0"/>
    <x v="0"/>
    <x v="1"/>
  </r>
  <r>
    <d v="2023-08-04T00:00:00"/>
    <x v="7"/>
    <x v="0"/>
    <x v="4"/>
    <x v="0"/>
    <x v="0"/>
    <n v="3350.32"/>
    <n v="3449.94"/>
    <n v="38"/>
    <n v="131097.72"/>
    <n v="3785.5599999999959"/>
    <x v="1"/>
    <x v="0"/>
    <x v="0"/>
  </r>
  <r>
    <d v="2023-08-04T00:00:00"/>
    <x v="7"/>
    <x v="0"/>
    <x v="2"/>
    <x v="1"/>
    <x v="2"/>
    <n v="3813.62"/>
    <n v="3839.72"/>
    <n v="30"/>
    <n v="115191.59999999999"/>
    <n v="782.99999999999727"/>
    <x v="1"/>
    <x v="2"/>
    <x v="0"/>
  </r>
  <r>
    <d v="2023-08-04T00:00:00"/>
    <x v="7"/>
    <x v="0"/>
    <x v="0"/>
    <x v="1"/>
    <x v="0"/>
    <n v="4729.59"/>
    <n v="4976.68"/>
    <n v="47"/>
    <n v="233903.96000000002"/>
    <n v="11613.230000000007"/>
    <x v="0"/>
    <x v="2"/>
    <x v="1"/>
  </r>
  <r>
    <d v="2023-08-05T00:00:00"/>
    <x v="7"/>
    <x v="0"/>
    <x v="3"/>
    <x v="0"/>
    <x v="3"/>
    <n v="1791.83"/>
    <n v="1871.22"/>
    <n v="4"/>
    <n v="7484.88"/>
    <n v="317.5600000000004"/>
    <x v="0"/>
    <x v="1"/>
    <x v="0"/>
  </r>
  <r>
    <d v="2023-08-05T00:00:00"/>
    <x v="7"/>
    <x v="0"/>
    <x v="3"/>
    <x v="2"/>
    <x v="2"/>
    <n v="3125.07"/>
    <n v="3564.19"/>
    <n v="34"/>
    <n v="121182.46"/>
    <n v="14930.079999999996"/>
    <x v="0"/>
    <x v="0"/>
    <x v="0"/>
  </r>
  <r>
    <d v="2023-08-06T00:00:00"/>
    <x v="7"/>
    <x v="0"/>
    <x v="3"/>
    <x v="0"/>
    <x v="2"/>
    <n v="2485.86"/>
    <n v="2532.87"/>
    <n v="4"/>
    <n v="10131.48"/>
    <n v="188.03999999999905"/>
    <x v="1"/>
    <x v="2"/>
    <x v="0"/>
  </r>
  <r>
    <d v="2023-08-06T00:00:00"/>
    <x v="7"/>
    <x v="0"/>
    <x v="2"/>
    <x v="0"/>
    <x v="0"/>
    <n v="1406.9"/>
    <n v="1547.35"/>
    <n v="45"/>
    <n v="69630.75"/>
    <n v="6320.2499999999918"/>
    <x v="1"/>
    <x v="0"/>
    <x v="1"/>
  </r>
  <r>
    <d v="2023-08-07T00:00:00"/>
    <x v="7"/>
    <x v="0"/>
    <x v="4"/>
    <x v="3"/>
    <x v="0"/>
    <n v="433.54"/>
    <n v="445.48"/>
    <n v="19"/>
    <n v="8464.1200000000008"/>
    <n v="226.85999999999996"/>
    <x v="1"/>
    <x v="1"/>
    <x v="1"/>
  </r>
  <r>
    <d v="2023-08-07T00:00:00"/>
    <x v="7"/>
    <x v="0"/>
    <x v="1"/>
    <x v="3"/>
    <x v="3"/>
    <n v="4402.66"/>
    <n v="4724.7"/>
    <n v="43"/>
    <n v="203162.1"/>
    <n v="13847.719999999998"/>
    <x v="1"/>
    <x v="1"/>
    <x v="1"/>
  </r>
  <r>
    <d v="2023-08-08T00:00:00"/>
    <x v="7"/>
    <x v="0"/>
    <x v="4"/>
    <x v="0"/>
    <x v="0"/>
    <n v="430.14"/>
    <n v="641.17999999999995"/>
    <n v="18"/>
    <n v="11541.24"/>
    <n v="3798.7199999999993"/>
    <x v="1"/>
    <x v="0"/>
    <x v="0"/>
  </r>
  <r>
    <d v="2023-08-08T00:00:00"/>
    <x v="7"/>
    <x v="0"/>
    <x v="2"/>
    <x v="0"/>
    <x v="2"/>
    <n v="1341.55"/>
    <n v="1427.21"/>
    <n v="33"/>
    <n v="47097.93"/>
    <n v="2826.7800000000025"/>
    <x v="0"/>
    <x v="2"/>
    <x v="0"/>
  </r>
  <r>
    <d v="2023-08-09T00:00:00"/>
    <x v="7"/>
    <x v="0"/>
    <x v="2"/>
    <x v="0"/>
    <x v="0"/>
    <n v="2888.49"/>
    <n v="2929.45"/>
    <n v="41"/>
    <n v="120107.45"/>
    <n v="1679.3600000000015"/>
    <x v="1"/>
    <x v="0"/>
    <x v="1"/>
  </r>
  <r>
    <d v="2023-08-10T00:00:00"/>
    <x v="7"/>
    <x v="0"/>
    <x v="4"/>
    <x v="0"/>
    <x v="1"/>
    <n v="1454.8"/>
    <n v="1674.97"/>
    <n v="43"/>
    <n v="72023.710000000006"/>
    <n v="9467.3100000000031"/>
    <x v="1"/>
    <x v="2"/>
    <x v="0"/>
  </r>
  <r>
    <d v="2023-08-10T00:00:00"/>
    <x v="7"/>
    <x v="0"/>
    <x v="0"/>
    <x v="1"/>
    <x v="3"/>
    <n v="1543.96"/>
    <n v="1558.87"/>
    <n v="30"/>
    <n v="46766.1"/>
    <n v="447.29999999999563"/>
    <x v="0"/>
    <x v="2"/>
    <x v="0"/>
  </r>
  <r>
    <d v="2023-08-10T00:00:00"/>
    <x v="7"/>
    <x v="0"/>
    <x v="3"/>
    <x v="1"/>
    <x v="3"/>
    <n v="421.05"/>
    <n v="488.23"/>
    <n v="5"/>
    <n v="2441.15"/>
    <n v="335.90000000000003"/>
    <x v="0"/>
    <x v="2"/>
    <x v="1"/>
  </r>
  <r>
    <d v="2023-08-10T00:00:00"/>
    <x v="7"/>
    <x v="0"/>
    <x v="1"/>
    <x v="0"/>
    <x v="2"/>
    <n v="4966.66"/>
    <n v="5037.2699999999904"/>
    <n v="17"/>
    <n v="85633.589999999836"/>
    <n v="1200.3699999998398"/>
    <x v="0"/>
    <x v="1"/>
    <x v="1"/>
  </r>
  <r>
    <d v="2023-08-11T00:00:00"/>
    <x v="7"/>
    <x v="0"/>
    <x v="0"/>
    <x v="3"/>
    <x v="1"/>
    <n v="970.51"/>
    <n v="1330.84"/>
    <n v="32"/>
    <n v="42586.879999999997"/>
    <n v="11530.559999999998"/>
    <x v="0"/>
    <x v="0"/>
    <x v="1"/>
  </r>
  <r>
    <d v="2023-08-11T00:00:00"/>
    <x v="7"/>
    <x v="0"/>
    <x v="0"/>
    <x v="0"/>
    <x v="0"/>
    <n v="4232.6099999999997"/>
    <n v="4572.21"/>
    <n v="43"/>
    <n v="196605.03"/>
    <n v="14602.800000000016"/>
    <x v="1"/>
    <x v="0"/>
    <x v="1"/>
  </r>
  <r>
    <d v="2023-08-11T00:00:00"/>
    <x v="7"/>
    <x v="0"/>
    <x v="1"/>
    <x v="2"/>
    <x v="0"/>
    <n v="4848.9799999999996"/>
    <n v="4985.75"/>
    <n v="45"/>
    <n v="224358.75"/>
    <n v="6154.6500000000196"/>
    <x v="0"/>
    <x v="1"/>
    <x v="0"/>
  </r>
  <r>
    <d v="2023-08-11T00:00:00"/>
    <x v="7"/>
    <x v="0"/>
    <x v="2"/>
    <x v="3"/>
    <x v="3"/>
    <n v="4714.74"/>
    <n v="5129.1099999999997"/>
    <n v="5"/>
    <n v="25645.55"/>
    <n v="2071.8499999999995"/>
    <x v="1"/>
    <x v="1"/>
    <x v="0"/>
  </r>
  <r>
    <d v="2023-08-11T00:00:00"/>
    <x v="7"/>
    <x v="0"/>
    <x v="1"/>
    <x v="0"/>
    <x v="1"/>
    <n v="2289.2199999999998"/>
    <n v="2581"/>
    <n v="43"/>
    <n v="110983"/>
    <n v="12546.540000000008"/>
    <x v="1"/>
    <x v="1"/>
    <x v="0"/>
  </r>
  <r>
    <d v="2023-08-12T00:00:00"/>
    <x v="7"/>
    <x v="0"/>
    <x v="1"/>
    <x v="0"/>
    <x v="2"/>
    <n v="3161.09"/>
    <n v="3216.42"/>
    <n v="9"/>
    <n v="28947.78"/>
    <n v="497.96999999999935"/>
    <x v="1"/>
    <x v="1"/>
    <x v="0"/>
  </r>
  <r>
    <d v="2023-08-12T00:00:00"/>
    <x v="7"/>
    <x v="0"/>
    <x v="1"/>
    <x v="1"/>
    <x v="0"/>
    <n v="3956.03"/>
    <n v="4163.68"/>
    <n v="41"/>
    <n v="170710.88"/>
    <n v="8513.6500000000033"/>
    <x v="1"/>
    <x v="1"/>
    <x v="1"/>
  </r>
  <r>
    <d v="2023-08-12T00:00:00"/>
    <x v="7"/>
    <x v="0"/>
    <x v="2"/>
    <x v="0"/>
    <x v="1"/>
    <n v="3970.08"/>
    <n v="4096.4799999999996"/>
    <n v="5"/>
    <n v="20482.399999999998"/>
    <n v="631.99999999999818"/>
    <x v="0"/>
    <x v="0"/>
    <x v="1"/>
  </r>
  <r>
    <d v="2023-08-12T00:00:00"/>
    <x v="7"/>
    <x v="0"/>
    <x v="3"/>
    <x v="3"/>
    <x v="3"/>
    <n v="2868.02"/>
    <n v="2994.74"/>
    <n v="2"/>
    <n v="5989.48"/>
    <n v="253.4399999999996"/>
    <x v="0"/>
    <x v="1"/>
    <x v="0"/>
  </r>
  <r>
    <d v="2023-08-12T00:00:00"/>
    <x v="7"/>
    <x v="0"/>
    <x v="2"/>
    <x v="3"/>
    <x v="1"/>
    <n v="1612.93"/>
    <n v="1964.15"/>
    <n v="14"/>
    <n v="27498.100000000002"/>
    <n v="4917.08"/>
    <x v="0"/>
    <x v="1"/>
    <x v="1"/>
  </r>
  <r>
    <d v="2023-08-13T00:00:00"/>
    <x v="7"/>
    <x v="0"/>
    <x v="3"/>
    <x v="3"/>
    <x v="0"/>
    <n v="324.45"/>
    <n v="336.37"/>
    <n v="38"/>
    <n v="12782.06"/>
    <n v="452.9600000000006"/>
    <x v="1"/>
    <x v="2"/>
    <x v="1"/>
  </r>
  <r>
    <d v="2023-08-13T00:00:00"/>
    <x v="7"/>
    <x v="0"/>
    <x v="4"/>
    <x v="2"/>
    <x v="0"/>
    <n v="3991.69"/>
    <n v="4454.97"/>
    <n v="5"/>
    <n v="22274.850000000002"/>
    <n v="2316.400000000001"/>
    <x v="1"/>
    <x v="2"/>
    <x v="1"/>
  </r>
  <r>
    <d v="2023-08-13T00:00:00"/>
    <x v="7"/>
    <x v="0"/>
    <x v="4"/>
    <x v="2"/>
    <x v="1"/>
    <n v="3497.98"/>
    <n v="3765.31"/>
    <n v="21"/>
    <n v="79071.509999999995"/>
    <n v="5613.9299999999985"/>
    <x v="1"/>
    <x v="0"/>
    <x v="0"/>
  </r>
  <r>
    <d v="2023-08-14T00:00:00"/>
    <x v="7"/>
    <x v="0"/>
    <x v="4"/>
    <x v="3"/>
    <x v="0"/>
    <n v="3749.12"/>
    <n v="4138.83"/>
    <n v="26"/>
    <n v="107609.58"/>
    <n v="10132.460000000001"/>
    <x v="1"/>
    <x v="2"/>
    <x v="0"/>
  </r>
  <r>
    <d v="2023-08-14T00:00:00"/>
    <x v="7"/>
    <x v="0"/>
    <x v="3"/>
    <x v="0"/>
    <x v="0"/>
    <n v="3760.25"/>
    <n v="4147.1099999999997"/>
    <n v="27"/>
    <n v="111971.96999999999"/>
    <n v="10445.21999999999"/>
    <x v="1"/>
    <x v="0"/>
    <x v="0"/>
  </r>
  <r>
    <d v="2023-08-14T00:00:00"/>
    <x v="7"/>
    <x v="0"/>
    <x v="3"/>
    <x v="2"/>
    <x v="0"/>
    <n v="4337.8500000000004"/>
    <n v="4612.49"/>
    <n v="26"/>
    <n v="119924.73999999999"/>
    <n v="7140.6399999999849"/>
    <x v="0"/>
    <x v="0"/>
    <x v="1"/>
  </r>
  <r>
    <d v="2023-08-14T00:00:00"/>
    <x v="7"/>
    <x v="0"/>
    <x v="4"/>
    <x v="1"/>
    <x v="2"/>
    <n v="955.18"/>
    <n v="1072.82"/>
    <n v="20"/>
    <n v="21456.399999999998"/>
    <n v="2352.7999999999997"/>
    <x v="1"/>
    <x v="1"/>
    <x v="1"/>
  </r>
  <r>
    <d v="2023-08-14T00:00:00"/>
    <x v="7"/>
    <x v="0"/>
    <x v="0"/>
    <x v="2"/>
    <x v="0"/>
    <n v="2505.41"/>
    <n v="2638.96"/>
    <n v="42"/>
    <n v="110836.32"/>
    <n v="5609.1000000000076"/>
    <x v="1"/>
    <x v="1"/>
    <x v="0"/>
  </r>
  <r>
    <d v="2023-08-14T00:00:00"/>
    <x v="7"/>
    <x v="0"/>
    <x v="2"/>
    <x v="2"/>
    <x v="3"/>
    <n v="235.12"/>
    <n v="677.5"/>
    <n v="6"/>
    <n v="4065"/>
    <n v="2654.2799999999997"/>
    <x v="0"/>
    <x v="2"/>
    <x v="0"/>
  </r>
  <r>
    <d v="2023-08-14T00:00:00"/>
    <x v="7"/>
    <x v="0"/>
    <x v="3"/>
    <x v="2"/>
    <x v="3"/>
    <n v="1100.81"/>
    <n v="1137.44"/>
    <n v="43"/>
    <n v="48909.920000000006"/>
    <n v="1575.0900000000047"/>
    <x v="0"/>
    <x v="1"/>
    <x v="0"/>
  </r>
  <r>
    <d v="2023-08-15T00:00:00"/>
    <x v="7"/>
    <x v="0"/>
    <x v="0"/>
    <x v="3"/>
    <x v="0"/>
    <n v="1412.09"/>
    <n v="1596.6499999999901"/>
    <n v="29"/>
    <n v="46302.849999999715"/>
    <n v="5352.2399999997151"/>
    <x v="0"/>
    <x v="0"/>
    <x v="0"/>
  </r>
  <r>
    <d v="2023-08-15T00:00:00"/>
    <x v="7"/>
    <x v="0"/>
    <x v="4"/>
    <x v="1"/>
    <x v="1"/>
    <n v="4095.1"/>
    <n v="4134.55"/>
    <n v="4"/>
    <n v="16538.2"/>
    <n v="157.80000000000109"/>
    <x v="0"/>
    <x v="1"/>
    <x v="1"/>
  </r>
  <r>
    <d v="2023-08-15T00:00:00"/>
    <x v="7"/>
    <x v="0"/>
    <x v="4"/>
    <x v="3"/>
    <x v="3"/>
    <n v="1046.96"/>
    <n v="1528.15"/>
    <n v="26"/>
    <n v="39731.9"/>
    <n v="12510.940000000002"/>
    <x v="1"/>
    <x v="2"/>
    <x v="1"/>
  </r>
  <r>
    <d v="2023-08-15T00:00:00"/>
    <x v="7"/>
    <x v="0"/>
    <x v="4"/>
    <x v="1"/>
    <x v="3"/>
    <n v="1142.53"/>
    <n v="1384.3"/>
    <n v="21"/>
    <n v="29070.3"/>
    <n v="5077.17"/>
    <x v="0"/>
    <x v="2"/>
    <x v="1"/>
  </r>
  <r>
    <d v="2023-08-15T00:00:00"/>
    <x v="7"/>
    <x v="0"/>
    <x v="2"/>
    <x v="2"/>
    <x v="1"/>
    <n v="1723.01"/>
    <n v="2197.42"/>
    <n v="29"/>
    <n v="63725.18"/>
    <n v="13757.890000000003"/>
    <x v="1"/>
    <x v="1"/>
    <x v="1"/>
  </r>
  <r>
    <d v="2023-08-15T00:00:00"/>
    <x v="7"/>
    <x v="0"/>
    <x v="1"/>
    <x v="0"/>
    <x v="0"/>
    <n v="2570.2199999999998"/>
    <n v="2610.8399999999901"/>
    <n v="28"/>
    <n v="73103.519999999728"/>
    <n v="1137.3599999997296"/>
    <x v="0"/>
    <x v="1"/>
    <x v="1"/>
  </r>
  <r>
    <d v="2023-08-16T00:00:00"/>
    <x v="7"/>
    <x v="0"/>
    <x v="2"/>
    <x v="1"/>
    <x v="1"/>
    <n v="433.19"/>
    <n v="800.6"/>
    <n v="26"/>
    <n v="20815.600000000002"/>
    <n v="9552.66"/>
    <x v="0"/>
    <x v="0"/>
    <x v="0"/>
  </r>
  <r>
    <d v="2023-08-16T00:00:00"/>
    <x v="7"/>
    <x v="0"/>
    <x v="4"/>
    <x v="2"/>
    <x v="0"/>
    <n v="3110.54"/>
    <n v="3192.99"/>
    <n v="21"/>
    <n v="67052.789999999994"/>
    <n v="1731.4499999999962"/>
    <x v="1"/>
    <x v="2"/>
    <x v="0"/>
  </r>
  <r>
    <d v="2023-08-16T00:00:00"/>
    <x v="7"/>
    <x v="0"/>
    <x v="4"/>
    <x v="3"/>
    <x v="3"/>
    <n v="2632.58"/>
    <n v="2926.68"/>
    <n v="48"/>
    <n v="140480.63999999998"/>
    <n v="14116.799999999996"/>
    <x v="0"/>
    <x v="0"/>
    <x v="0"/>
  </r>
  <r>
    <d v="2023-08-17T00:00:00"/>
    <x v="7"/>
    <x v="0"/>
    <x v="0"/>
    <x v="3"/>
    <x v="1"/>
    <n v="4310.3100000000004"/>
    <n v="4633.1000000000004"/>
    <n v="16"/>
    <n v="74129.600000000006"/>
    <n v="5164.6399999999994"/>
    <x v="1"/>
    <x v="2"/>
    <x v="1"/>
  </r>
  <r>
    <d v="2023-08-17T00:00:00"/>
    <x v="7"/>
    <x v="0"/>
    <x v="3"/>
    <x v="2"/>
    <x v="0"/>
    <n v="450.72"/>
    <n v="918.17"/>
    <n v="33"/>
    <n v="30299.609999999997"/>
    <n v="15425.849999999999"/>
    <x v="0"/>
    <x v="0"/>
    <x v="0"/>
  </r>
  <r>
    <d v="2023-08-17T00:00:00"/>
    <x v="7"/>
    <x v="0"/>
    <x v="0"/>
    <x v="2"/>
    <x v="3"/>
    <n v="282.94"/>
    <n v="779.32999999999902"/>
    <n v="7"/>
    <n v="5455.3099999999931"/>
    <n v="3474.7299999999932"/>
    <x v="0"/>
    <x v="2"/>
    <x v="0"/>
  </r>
  <r>
    <d v="2023-08-17T00:00:00"/>
    <x v="7"/>
    <x v="0"/>
    <x v="1"/>
    <x v="1"/>
    <x v="3"/>
    <n v="2537.1999999999998"/>
    <n v="2869.6"/>
    <n v="21"/>
    <n v="60261.599999999999"/>
    <n v="6980.4000000000015"/>
    <x v="1"/>
    <x v="1"/>
    <x v="1"/>
  </r>
  <r>
    <d v="2023-08-17T00:00:00"/>
    <x v="7"/>
    <x v="0"/>
    <x v="3"/>
    <x v="3"/>
    <x v="0"/>
    <n v="3975.99"/>
    <n v="4422.59"/>
    <n v="16"/>
    <n v="70761.440000000002"/>
    <n v="7145.6000000000058"/>
    <x v="1"/>
    <x v="0"/>
    <x v="0"/>
  </r>
  <r>
    <d v="2023-08-19T00:00:00"/>
    <x v="7"/>
    <x v="0"/>
    <x v="3"/>
    <x v="2"/>
    <x v="0"/>
    <n v="2347.81"/>
    <n v="2668.02"/>
    <n v="31"/>
    <n v="82708.62"/>
    <n v="9926.510000000002"/>
    <x v="0"/>
    <x v="1"/>
    <x v="1"/>
  </r>
  <r>
    <d v="2023-08-20T00:00:00"/>
    <x v="7"/>
    <x v="0"/>
    <x v="3"/>
    <x v="0"/>
    <x v="3"/>
    <n v="4376.37"/>
    <n v="4818.95"/>
    <n v="21"/>
    <n v="101197.95"/>
    <n v="9294.1799999999985"/>
    <x v="1"/>
    <x v="2"/>
    <x v="1"/>
  </r>
  <r>
    <d v="2023-08-21T00:00:00"/>
    <x v="7"/>
    <x v="0"/>
    <x v="2"/>
    <x v="0"/>
    <x v="1"/>
    <n v="2346.8000000000002"/>
    <n v="2654.65"/>
    <n v="17"/>
    <n v="45129.05"/>
    <n v="5233.4499999999989"/>
    <x v="1"/>
    <x v="0"/>
    <x v="1"/>
  </r>
  <r>
    <d v="2023-08-21T00:00:00"/>
    <x v="7"/>
    <x v="0"/>
    <x v="4"/>
    <x v="2"/>
    <x v="0"/>
    <n v="710.99"/>
    <n v="876.46"/>
    <n v="12"/>
    <n v="10517.52"/>
    <n v="1985.6400000000003"/>
    <x v="0"/>
    <x v="2"/>
    <x v="0"/>
  </r>
  <r>
    <d v="2023-08-21T00:00:00"/>
    <x v="7"/>
    <x v="0"/>
    <x v="2"/>
    <x v="1"/>
    <x v="2"/>
    <n v="2316.13"/>
    <n v="2525.27"/>
    <n v="12"/>
    <n v="30303.239999999998"/>
    <n v="2509.6799999999985"/>
    <x v="0"/>
    <x v="2"/>
    <x v="1"/>
  </r>
  <r>
    <d v="2023-08-22T00:00:00"/>
    <x v="7"/>
    <x v="0"/>
    <x v="2"/>
    <x v="3"/>
    <x v="0"/>
    <n v="1742.24"/>
    <n v="2070.52"/>
    <n v="29"/>
    <n v="60045.08"/>
    <n v="9520.119999999999"/>
    <x v="1"/>
    <x v="0"/>
    <x v="0"/>
  </r>
  <r>
    <d v="2023-08-23T00:00:00"/>
    <x v="7"/>
    <x v="0"/>
    <x v="3"/>
    <x v="3"/>
    <x v="2"/>
    <n v="282.61"/>
    <n v="548.25"/>
    <n v="4"/>
    <n v="2193"/>
    <n v="1062.56"/>
    <x v="1"/>
    <x v="2"/>
    <x v="0"/>
  </r>
  <r>
    <d v="2023-08-23T00:00:00"/>
    <x v="7"/>
    <x v="0"/>
    <x v="2"/>
    <x v="3"/>
    <x v="3"/>
    <n v="2520.9699999999998"/>
    <n v="2707.1099999999901"/>
    <n v="25"/>
    <n v="67677.749999999753"/>
    <n v="4653.4999999997581"/>
    <x v="1"/>
    <x v="0"/>
    <x v="1"/>
  </r>
  <r>
    <d v="2023-08-24T00:00:00"/>
    <x v="7"/>
    <x v="0"/>
    <x v="3"/>
    <x v="1"/>
    <x v="0"/>
    <n v="4330.03"/>
    <n v="4467.75"/>
    <n v="39"/>
    <n v="174242.25"/>
    <n v="5371.0800000000099"/>
    <x v="1"/>
    <x v="2"/>
    <x v="1"/>
  </r>
  <r>
    <d v="2023-08-24T00:00:00"/>
    <x v="7"/>
    <x v="0"/>
    <x v="1"/>
    <x v="2"/>
    <x v="0"/>
    <n v="967.77"/>
    <n v="1414.88"/>
    <n v="42"/>
    <n v="59424.960000000006"/>
    <n v="18778.620000000006"/>
    <x v="1"/>
    <x v="1"/>
    <x v="0"/>
  </r>
  <r>
    <d v="2023-08-24T00:00:00"/>
    <x v="7"/>
    <x v="0"/>
    <x v="4"/>
    <x v="0"/>
    <x v="0"/>
    <n v="3808.23"/>
    <n v="3891.62"/>
    <n v="8"/>
    <n v="31132.959999999999"/>
    <n v="667.11999999999898"/>
    <x v="0"/>
    <x v="1"/>
    <x v="0"/>
  </r>
  <r>
    <d v="2023-08-24T00:00:00"/>
    <x v="7"/>
    <x v="0"/>
    <x v="3"/>
    <x v="2"/>
    <x v="1"/>
    <n v="2742.67"/>
    <n v="2979.64"/>
    <n v="17"/>
    <n v="50653.88"/>
    <n v="4028.4899999999966"/>
    <x v="0"/>
    <x v="0"/>
    <x v="1"/>
  </r>
  <r>
    <d v="2023-08-24T00:00:00"/>
    <x v="7"/>
    <x v="0"/>
    <x v="0"/>
    <x v="0"/>
    <x v="1"/>
    <n v="4231.75"/>
    <n v="4727.75"/>
    <n v="4"/>
    <n v="18911"/>
    <n v="1984"/>
    <x v="0"/>
    <x v="2"/>
    <x v="1"/>
  </r>
  <r>
    <d v="2023-08-24T00:00:00"/>
    <x v="7"/>
    <x v="0"/>
    <x v="3"/>
    <x v="2"/>
    <x v="3"/>
    <n v="729.27"/>
    <n v="999.18"/>
    <n v="20"/>
    <n v="19983.599999999999"/>
    <n v="5398.1999999999989"/>
    <x v="1"/>
    <x v="1"/>
    <x v="0"/>
  </r>
  <r>
    <d v="2023-08-25T00:00:00"/>
    <x v="7"/>
    <x v="0"/>
    <x v="2"/>
    <x v="1"/>
    <x v="2"/>
    <n v="1586.02"/>
    <n v="2047.13"/>
    <n v="42"/>
    <n v="85979.46"/>
    <n v="19366.620000000006"/>
    <x v="1"/>
    <x v="0"/>
    <x v="1"/>
  </r>
  <r>
    <d v="2023-08-25T00:00:00"/>
    <x v="7"/>
    <x v="0"/>
    <x v="3"/>
    <x v="0"/>
    <x v="2"/>
    <n v="4673.1899999999996"/>
    <n v="4761.1799999999903"/>
    <n v="23"/>
    <n v="109507.13999999978"/>
    <n v="2023.7699999997858"/>
    <x v="0"/>
    <x v="2"/>
    <x v="1"/>
  </r>
  <r>
    <d v="2023-08-25T00:00:00"/>
    <x v="7"/>
    <x v="0"/>
    <x v="3"/>
    <x v="1"/>
    <x v="3"/>
    <n v="1604.52"/>
    <n v="1756.34"/>
    <n v="31"/>
    <n v="54446.54"/>
    <n v="4706.4199999999983"/>
    <x v="0"/>
    <x v="0"/>
    <x v="1"/>
  </r>
  <r>
    <d v="2023-08-25T00:00:00"/>
    <x v="7"/>
    <x v="0"/>
    <x v="1"/>
    <x v="1"/>
    <x v="3"/>
    <n v="1517.4"/>
    <n v="1545.02"/>
    <n v="12"/>
    <n v="18540.239999999998"/>
    <n v="331.43999999999869"/>
    <x v="1"/>
    <x v="1"/>
    <x v="1"/>
  </r>
  <r>
    <d v="2023-08-26T00:00:00"/>
    <x v="7"/>
    <x v="0"/>
    <x v="2"/>
    <x v="2"/>
    <x v="3"/>
    <n v="2471.73"/>
    <n v="2568.73"/>
    <n v="17"/>
    <n v="43668.41"/>
    <n v="1649"/>
    <x v="1"/>
    <x v="0"/>
    <x v="1"/>
  </r>
  <r>
    <d v="2023-08-27T00:00:00"/>
    <x v="7"/>
    <x v="0"/>
    <x v="2"/>
    <x v="1"/>
    <x v="0"/>
    <n v="2687.49"/>
    <n v="3001.56"/>
    <n v="40"/>
    <n v="120062.39999999999"/>
    <n v="12562.800000000007"/>
    <x v="0"/>
    <x v="1"/>
    <x v="0"/>
  </r>
  <r>
    <d v="2023-08-27T00:00:00"/>
    <x v="7"/>
    <x v="0"/>
    <x v="1"/>
    <x v="0"/>
    <x v="3"/>
    <n v="3591.14"/>
    <n v="3822.99"/>
    <n v="18"/>
    <n v="68813.819999999992"/>
    <n v="4173.2999999999984"/>
    <x v="0"/>
    <x v="2"/>
    <x v="0"/>
  </r>
  <r>
    <d v="2023-08-27T00:00:00"/>
    <x v="7"/>
    <x v="0"/>
    <x v="0"/>
    <x v="0"/>
    <x v="0"/>
    <n v="444.05"/>
    <n v="584.44000000000005"/>
    <n v="19"/>
    <n v="11104.36"/>
    <n v="2667.4100000000008"/>
    <x v="0"/>
    <x v="0"/>
    <x v="1"/>
  </r>
  <r>
    <d v="2023-08-29T00:00:00"/>
    <x v="7"/>
    <x v="0"/>
    <x v="0"/>
    <x v="1"/>
    <x v="0"/>
    <n v="1139.45"/>
    <n v="1454.41"/>
    <n v="27"/>
    <n v="39269.07"/>
    <n v="8503.9200000000019"/>
    <x v="0"/>
    <x v="1"/>
    <x v="0"/>
  </r>
  <r>
    <d v="2023-08-29T00:00:00"/>
    <x v="7"/>
    <x v="0"/>
    <x v="4"/>
    <x v="2"/>
    <x v="0"/>
    <n v="4933.1099999999997"/>
    <n v="5245.86"/>
    <n v="44"/>
    <n v="230817.84"/>
    <n v="13761"/>
    <x v="0"/>
    <x v="1"/>
    <x v="1"/>
  </r>
  <r>
    <d v="2023-08-30T00:00:00"/>
    <x v="7"/>
    <x v="0"/>
    <x v="3"/>
    <x v="3"/>
    <x v="3"/>
    <n v="504.3"/>
    <n v="735.95"/>
    <n v="14"/>
    <n v="10303.300000000001"/>
    <n v="3243.1000000000004"/>
    <x v="0"/>
    <x v="0"/>
    <x v="1"/>
  </r>
  <r>
    <d v="2023-08-30T00:00:00"/>
    <x v="7"/>
    <x v="0"/>
    <x v="4"/>
    <x v="2"/>
    <x v="2"/>
    <n v="61.5"/>
    <n v="258.91999999999899"/>
    <n v="25"/>
    <n v="6472.9999999999745"/>
    <n v="4935.4999999999745"/>
    <x v="1"/>
    <x v="2"/>
    <x v="0"/>
  </r>
  <r>
    <d v="2023-08-31T00:00:00"/>
    <x v="7"/>
    <x v="0"/>
    <x v="4"/>
    <x v="3"/>
    <x v="2"/>
    <n v="2315.83"/>
    <n v="2333.19"/>
    <n v="1"/>
    <n v="2333.19"/>
    <n v="17.360000000000127"/>
    <x v="1"/>
    <x v="0"/>
    <x v="1"/>
  </r>
  <r>
    <d v="2023-08-31T00:00:00"/>
    <x v="7"/>
    <x v="0"/>
    <x v="4"/>
    <x v="3"/>
    <x v="2"/>
    <n v="1156.8800000000001"/>
    <n v="1454.68"/>
    <n v="25"/>
    <n v="36367"/>
    <n v="7444.9999999999991"/>
    <x v="0"/>
    <x v="2"/>
    <x v="0"/>
  </r>
  <r>
    <d v="2023-08-31T00:00:00"/>
    <x v="7"/>
    <x v="0"/>
    <x v="0"/>
    <x v="0"/>
    <x v="1"/>
    <n v="2055.2800000000002"/>
    <n v="2449.64"/>
    <n v="28"/>
    <n v="68589.919999999998"/>
    <n v="11042.079999999991"/>
    <x v="1"/>
    <x v="2"/>
    <x v="0"/>
  </r>
  <r>
    <d v="2023-08-31T00:00:00"/>
    <x v="7"/>
    <x v="0"/>
    <x v="4"/>
    <x v="0"/>
    <x v="3"/>
    <n v="3333.64"/>
    <n v="3764.52"/>
    <n v="35"/>
    <n v="131758.20000000001"/>
    <n v="15080.800000000003"/>
    <x v="0"/>
    <x v="2"/>
    <x v="0"/>
  </r>
  <r>
    <d v="2023-08-31T00:00:00"/>
    <x v="7"/>
    <x v="0"/>
    <x v="0"/>
    <x v="1"/>
    <x v="3"/>
    <n v="4284.9799999999996"/>
    <n v="4462.3999999999996"/>
    <n v="47"/>
    <n v="209732.8"/>
    <n v="8338.7400000000034"/>
    <x v="1"/>
    <x v="2"/>
    <x v="1"/>
  </r>
  <r>
    <d v="2023-09-01T00:00:00"/>
    <x v="8"/>
    <x v="0"/>
    <x v="2"/>
    <x v="2"/>
    <x v="0"/>
    <n v="97.24"/>
    <n v="487.03"/>
    <n v="16"/>
    <n v="7792.48"/>
    <n v="6236.6399999999994"/>
    <x v="1"/>
    <x v="1"/>
    <x v="1"/>
  </r>
  <r>
    <d v="2023-09-01T00:00:00"/>
    <x v="8"/>
    <x v="0"/>
    <x v="1"/>
    <x v="2"/>
    <x v="2"/>
    <n v="4075.08"/>
    <n v="4262.21"/>
    <n v="17"/>
    <n v="72457.570000000007"/>
    <n v="3181.2100000000019"/>
    <x v="1"/>
    <x v="0"/>
    <x v="0"/>
  </r>
  <r>
    <d v="2023-09-02T00:00:00"/>
    <x v="8"/>
    <x v="0"/>
    <x v="2"/>
    <x v="1"/>
    <x v="1"/>
    <n v="760.55"/>
    <n v="1086.8899999999901"/>
    <n v="9"/>
    <n v="9782.0099999999111"/>
    <n v="2937.0599999999113"/>
    <x v="0"/>
    <x v="0"/>
    <x v="1"/>
  </r>
  <r>
    <d v="2023-09-03T00:00:00"/>
    <x v="8"/>
    <x v="0"/>
    <x v="2"/>
    <x v="1"/>
    <x v="2"/>
    <n v="4775.04"/>
    <n v="4785.66"/>
    <n v="32"/>
    <n v="153141.12"/>
    <n v="339.83999999999651"/>
    <x v="1"/>
    <x v="0"/>
    <x v="0"/>
  </r>
  <r>
    <d v="2023-09-03T00:00:00"/>
    <x v="8"/>
    <x v="0"/>
    <x v="1"/>
    <x v="2"/>
    <x v="2"/>
    <n v="2538.61"/>
    <n v="2971.75"/>
    <n v="12"/>
    <n v="35661"/>
    <n v="5197.6799999999985"/>
    <x v="0"/>
    <x v="0"/>
    <x v="0"/>
  </r>
  <r>
    <d v="2023-09-04T00:00:00"/>
    <x v="8"/>
    <x v="0"/>
    <x v="0"/>
    <x v="3"/>
    <x v="3"/>
    <n v="1140.58"/>
    <n v="1438.76"/>
    <n v="14"/>
    <n v="20142.64"/>
    <n v="4174.5200000000004"/>
    <x v="0"/>
    <x v="1"/>
    <x v="0"/>
  </r>
  <r>
    <d v="2023-09-04T00:00:00"/>
    <x v="8"/>
    <x v="0"/>
    <x v="4"/>
    <x v="0"/>
    <x v="2"/>
    <n v="1236.25"/>
    <n v="1543.38"/>
    <n v="23"/>
    <n v="35497.740000000005"/>
    <n v="7063.9900000000025"/>
    <x v="1"/>
    <x v="1"/>
    <x v="0"/>
  </r>
  <r>
    <d v="2023-09-04T00:00:00"/>
    <x v="8"/>
    <x v="0"/>
    <x v="1"/>
    <x v="1"/>
    <x v="3"/>
    <n v="2085.46"/>
    <n v="2406.58"/>
    <n v="44"/>
    <n v="105889.51999999999"/>
    <n v="14129.279999999995"/>
    <x v="0"/>
    <x v="1"/>
    <x v="1"/>
  </r>
  <r>
    <d v="2023-09-06T00:00:00"/>
    <x v="8"/>
    <x v="0"/>
    <x v="1"/>
    <x v="3"/>
    <x v="0"/>
    <n v="3730"/>
    <n v="3893.6"/>
    <n v="4"/>
    <n v="15574.4"/>
    <n v="654.39999999999964"/>
    <x v="1"/>
    <x v="1"/>
    <x v="1"/>
  </r>
  <r>
    <d v="2023-09-06T00:00:00"/>
    <x v="8"/>
    <x v="0"/>
    <x v="3"/>
    <x v="3"/>
    <x v="0"/>
    <n v="2188.4499999999998"/>
    <n v="2255.0499999999902"/>
    <n v="45"/>
    <n v="101477.24999999956"/>
    <n v="2996.9999999995662"/>
    <x v="1"/>
    <x v="1"/>
    <x v="1"/>
  </r>
  <r>
    <d v="2023-09-07T00:00:00"/>
    <x v="8"/>
    <x v="0"/>
    <x v="4"/>
    <x v="2"/>
    <x v="1"/>
    <n v="919.58"/>
    <n v="1258.3"/>
    <n v="16"/>
    <n v="20132.8"/>
    <n v="5419.5199999999986"/>
    <x v="0"/>
    <x v="1"/>
    <x v="0"/>
  </r>
  <r>
    <d v="2023-09-07T00:00:00"/>
    <x v="8"/>
    <x v="0"/>
    <x v="3"/>
    <x v="2"/>
    <x v="2"/>
    <n v="2387.52"/>
    <n v="2604.06"/>
    <n v="27"/>
    <n v="70309.62"/>
    <n v="5846.579999999999"/>
    <x v="0"/>
    <x v="0"/>
    <x v="0"/>
  </r>
  <r>
    <d v="2023-09-07T00:00:00"/>
    <x v="8"/>
    <x v="0"/>
    <x v="3"/>
    <x v="0"/>
    <x v="0"/>
    <n v="1754.32"/>
    <n v="1856.3999999999901"/>
    <n v="37"/>
    <n v="68686.799999999639"/>
    <n v="3776.9599999996353"/>
    <x v="1"/>
    <x v="1"/>
    <x v="1"/>
  </r>
  <r>
    <d v="2023-09-08T00:00:00"/>
    <x v="8"/>
    <x v="0"/>
    <x v="0"/>
    <x v="0"/>
    <x v="2"/>
    <n v="4737.0600000000004"/>
    <n v="4869.5"/>
    <n v="9"/>
    <n v="43825.5"/>
    <n v="1191.9599999999964"/>
    <x v="1"/>
    <x v="0"/>
    <x v="0"/>
  </r>
  <r>
    <d v="2023-09-08T00:00:00"/>
    <x v="8"/>
    <x v="0"/>
    <x v="0"/>
    <x v="0"/>
    <x v="0"/>
    <n v="4472.3500000000004"/>
    <n v="4770.42"/>
    <n v="26"/>
    <n v="124030.92"/>
    <n v="7749.8199999999924"/>
    <x v="1"/>
    <x v="2"/>
    <x v="1"/>
  </r>
  <r>
    <d v="2023-09-08T00:00:00"/>
    <x v="8"/>
    <x v="0"/>
    <x v="4"/>
    <x v="0"/>
    <x v="1"/>
    <n v="320.73"/>
    <n v="678.04"/>
    <n v="30"/>
    <n v="20341.199999999997"/>
    <n v="10719.3"/>
    <x v="0"/>
    <x v="0"/>
    <x v="1"/>
  </r>
  <r>
    <d v="2023-09-08T00:00:00"/>
    <x v="8"/>
    <x v="0"/>
    <x v="1"/>
    <x v="0"/>
    <x v="0"/>
    <n v="193.27"/>
    <n v="297.69"/>
    <n v="20"/>
    <n v="5953.8"/>
    <n v="2088.3999999999996"/>
    <x v="1"/>
    <x v="0"/>
    <x v="0"/>
  </r>
  <r>
    <d v="2023-09-08T00:00:00"/>
    <x v="8"/>
    <x v="0"/>
    <x v="3"/>
    <x v="2"/>
    <x v="1"/>
    <n v="4089.66"/>
    <n v="4275.96"/>
    <n v="40"/>
    <n v="171038.4"/>
    <n v="7452.0000000000073"/>
    <x v="1"/>
    <x v="2"/>
    <x v="0"/>
  </r>
  <r>
    <d v="2023-09-11T00:00:00"/>
    <x v="8"/>
    <x v="0"/>
    <x v="2"/>
    <x v="3"/>
    <x v="3"/>
    <n v="4218.43"/>
    <n v="4331.42"/>
    <n v="22"/>
    <n v="95291.24"/>
    <n v="2485.7799999999952"/>
    <x v="1"/>
    <x v="1"/>
    <x v="0"/>
  </r>
  <r>
    <d v="2023-09-11T00:00:00"/>
    <x v="8"/>
    <x v="0"/>
    <x v="0"/>
    <x v="1"/>
    <x v="2"/>
    <n v="608.57000000000005"/>
    <n v="1032.22"/>
    <n v="23"/>
    <n v="23741.06"/>
    <n v="9743.9499999999989"/>
    <x v="1"/>
    <x v="0"/>
    <x v="1"/>
  </r>
  <r>
    <d v="2023-09-12T00:00:00"/>
    <x v="8"/>
    <x v="0"/>
    <x v="1"/>
    <x v="3"/>
    <x v="1"/>
    <n v="556.72"/>
    <n v="665.07"/>
    <n v="48"/>
    <n v="31923.360000000001"/>
    <n v="5200.8000000000011"/>
    <x v="0"/>
    <x v="1"/>
    <x v="1"/>
  </r>
  <r>
    <d v="2023-09-13T00:00:00"/>
    <x v="8"/>
    <x v="0"/>
    <x v="3"/>
    <x v="1"/>
    <x v="1"/>
    <n v="1941.56"/>
    <n v="2385.48"/>
    <n v="5"/>
    <n v="11927.4"/>
    <n v="2219.6000000000004"/>
    <x v="0"/>
    <x v="2"/>
    <x v="0"/>
  </r>
  <r>
    <d v="2023-09-14T00:00:00"/>
    <x v="8"/>
    <x v="0"/>
    <x v="0"/>
    <x v="1"/>
    <x v="3"/>
    <n v="2437.2600000000002"/>
    <n v="2889.67"/>
    <n v="39"/>
    <n v="112697.13"/>
    <n v="17643.989999999994"/>
    <x v="0"/>
    <x v="0"/>
    <x v="0"/>
  </r>
  <r>
    <d v="2023-09-14T00:00:00"/>
    <x v="8"/>
    <x v="0"/>
    <x v="3"/>
    <x v="2"/>
    <x v="0"/>
    <n v="3286.24"/>
    <n v="3388.8399999999901"/>
    <n v="15"/>
    <n v="50832.599999999853"/>
    <n v="1538.9999999998554"/>
    <x v="0"/>
    <x v="2"/>
    <x v="1"/>
  </r>
  <r>
    <d v="2023-09-14T00:00:00"/>
    <x v="8"/>
    <x v="0"/>
    <x v="2"/>
    <x v="1"/>
    <x v="1"/>
    <n v="173.67"/>
    <n v="565.62"/>
    <n v="29"/>
    <n v="16402.98"/>
    <n v="11366.550000000001"/>
    <x v="0"/>
    <x v="0"/>
    <x v="0"/>
  </r>
  <r>
    <d v="2023-09-14T00:00:00"/>
    <x v="8"/>
    <x v="0"/>
    <x v="1"/>
    <x v="2"/>
    <x v="0"/>
    <n v="2357.9499999999998"/>
    <n v="2693.33"/>
    <n v="47"/>
    <n v="126586.51"/>
    <n v="15762.860000000004"/>
    <x v="1"/>
    <x v="1"/>
    <x v="0"/>
  </r>
  <r>
    <d v="2023-09-15T00:00:00"/>
    <x v="8"/>
    <x v="0"/>
    <x v="3"/>
    <x v="1"/>
    <x v="2"/>
    <n v="4557.79"/>
    <n v="5043.3599999999997"/>
    <n v="16"/>
    <n v="80693.759999999995"/>
    <n v="7769.1199999999953"/>
    <x v="0"/>
    <x v="2"/>
    <x v="1"/>
  </r>
  <r>
    <d v="2023-09-16T00:00:00"/>
    <x v="8"/>
    <x v="0"/>
    <x v="3"/>
    <x v="0"/>
    <x v="3"/>
    <n v="2843.76"/>
    <n v="3146.6"/>
    <n v="49"/>
    <n v="154183.4"/>
    <n v="14839.159999999985"/>
    <x v="1"/>
    <x v="0"/>
    <x v="1"/>
  </r>
  <r>
    <d v="2023-09-16T00:00:00"/>
    <x v="8"/>
    <x v="0"/>
    <x v="2"/>
    <x v="1"/>
    <x v="2"/>
    <n v="1427.42"/>
    <n v="1763.69"/>
    <n v="19"/>
    <n v="33510.11"/>
    <n v="6389.1299999999992"/>
    <x v="1"/>
    <x v="0"/>
    <x v="1"/>
  </r>
  <r>
    <d v="2023-09-17T00:00:00"/>
    <x v="8"/>
    <x v="0"/>
    <x v="1"/>
    <x v="0"/>
    <x v="2"/>
    <n v="83.64"/>
    <n v="528.49"/>
    <n v="17"/>
    <n v="8984.33"/>
    <n v="7562.4500000000007"/>
    <x v="1"/>
    <x v="2"/>
    <x v="0"/>
  </r>
  <r>
    <d v="2023-09-18T00:00:00"/>
    <x v="8"/>
    <x v="0"/>
    <x v="2"/>
    <x v="2"/>
    <x v="1"/>
    <n v="1623.63"/>
    <n v="1814.63"/>
    <n v="45"/>
    <n v="81658.350000000006"/>
    <n v="8595"/>
    <x v="1"/>
    <x v="1"/>
    <x v="1"/>
  </r>
  <r>
    <d v="2023-09-18T00:00:00"/>
    <x v="8"/>
    <x v="0"/>
    <x v="1"/>
    <x v="1"/>
    <x v="3"/>
    <n v="921.32"/>
    <n v="1236.0999999999999"/>
    <n v="32"/>
    <n v="39555.199999999997"/>
    <n v="10072.959999999995"/>
    <x v="1"/>
    <x v="2"/>
    <x v="0"/>
  </r>
  <r>
    <d v="2023-09-18T00:00:00"/>
    <x v="8"/>
    <x v="0"/>
    <x v="1"/>
    <x v="2"/>
    <x v="3"/>
    <n v="1821.91"/>
    <n v="2027.74"/>
    <n v="25"/>
    <n v="50693.5"/>
    <n v="5145.7499999999982"/>
    <x v="1"/>
    <x v="1"/>
    <x v="1"/>
  </r>
  <r>
    <d v="2023-09-18T00:00:00"/>
    <x v="8"/>
    <x v="0"/>
    <x v="0"/>
    <x v="3"/>
    <x v="0"/>
    <n v="4083.23"/>
    <n v="4521.57"/>
    <n v="40"/>
    <n v="180862.8"/>
    <n v="17533.599999999988"/>
    <x v="1"/>
    <x v="1"/>
    <x v="1"/>
  </r>
  <r>
    <d v="2023-09-18T00:00:00"/>
    <x v="8"/>
    <x v="0"/>
    <x v="2"/>
    <x v="2"/>
    <x v="2"/>
    <n v="3808.59"/>
    <n v="3844.51"/>
    <n v="19"/>
    <n v="73045.69"/>
    <n v="682.48000000000138"/>
    <x v="1"/>
    <x v="2"/>
    <x v="0"/>
  </r>
  <r>
    <d v="2023-09-19T00:00:00"/>
    <x v="8"/>
    <x v="0"/>
    <x v="1"/>
    <x v="2"/>
    <x v="0"/>
    <n v="2590.64"/>
    <n v="3036.18"/>
    <n v="45"/>
    <n v="136628.1"/>
    <n v="20049.3"/>
    <x v="1"/>
    <x v="1"/>
    <x v="1"/>
  </r>
  <r>
    <d v="2023-09-19T00:00:00"/>
    <x v="8"/>
    <x v="0"/>
    <x v="4"/>
    <x v="3"/>
    <x v="2"/>
    <n v="2007.32"/>
    <n v="2202.87"/>
    <n v="26"/>
    <n v="57274.619999999995"/>
    <n v="5084.2999999999993"/>
    <x v="0"/>
    <x v="0"/>
    <x v="0"/>
  </r>
  <r>
    <d v="2023-09-19T00:00:00"/>
    <x v="8"/>
    <x v="0"/>
    <x v="4"/>
    <x v="1"/>
    <x v="2"/>
    <n v="1308.58"/>
    <n v="1575.59"/>
    <n v="17"/>
    <n v="26785.03"/>
    <n v="4539.17"/>
    <x v="1"/>
    <x v="0"/>
    <x v="0"/>
  </r>
  <r>
    <d v="2023-09-19T00:00:00"/>
    <x v="8"/>
    <x v="0"/>
    <x v="3"/>
    <x v="1"/>
    <x v="0"/>
    <n v="666.84"/>
    <n v="817.36"/>
    <n v="28"/>
    <n v="22886.080000000002"/>
    <n v="4214.5599999999995"/>
    <x v="0"/>
    <x v="0"/>
    <x v="1"/>
  </r>
  <r>
    <d v="2023-09-20T00:00:00"/>
    <x v="8"/>
    <x v="0"/>
    <x v="2"/>
    <x v="0"/>
    <x v="0"/>
    <n v="1525.13"/>
    <n v="1868.32"/>
    <n v="45"/>
    <n v="84074.4"/>
    <n v="15443.549999999992"/>
    <x v="0"/>
    <x v="0"/>
    <x v="1"/>
  </r>
  <r>
    <d v="2023-09-21T00:00:00"/>
    <x v="8"/>
    <x v="0"/>
    <x v="2"/>
    <x v="1"/>
    <x v="3"/>
    <n v="261.56"/>
    <n v="371.4"/>
    <n v="30"/>
    <n v="11142"/>
    <n v="3295.1999999999994"/>
    <x v="0"/>
    <x v="1"/>
    <x v="1"/>
  </r>
  <r>
    <d v="2023-09-21T00:00:00"/>
    <x v="8"/>
    <x v="0"/>
    <x v="1"/>
    <x v="1"/>
    <x v="3"/>
    <n v="2747.66"/>
    <n v="3027.0099999999902"/>
    <n v="25"/>
    <n v="75675.249999999753"/>
    <n v="6983.749999999759"/>
    <x v="1"/>
    <x v="0"/>
    <x v="0"/>
  </r>
  <r>
    <d v="2023-09-21T00:00:00"/>
    <x v="8"/>
    <x v="0"/>
    <x v="2"/>
    <x v="0"/>
    <x v="2"/>
    <n v="4658.4399999999996"/>
    <n v="4823.5"/>
    <n v="37"/>
    <n v="178469.5"/>
    <n v="6107.2200000000148"/>
    <x v="0"/>
    <x v="2"/>
    <x v="0"/>
  </r>
  <r>
    <d v="2023-09-21T00:00:00"/>
    <x v="8"/>
    <x v="0"/>
    <x v="3"/>
    <x v="0"/>
    <x v="2"/>
    <n v="1762"/>
    <n v="2002.95"/>
    <n v="26"/>
    <n v="52076.700000000004"/>
    <n v="6264.7000000000007"/>
    <x v="0"/>
    <x v="2"/>
    <x v="1"/>
  </r>
  <r>
    <d v="2023-09-21T00:00:00"/>
    <x v="8"/>
    <x v="0"/>
    <x v="0"/>
    <x v="1"/>
    <x v="1"/>
    <n v="1458.77"/>
    <n v="1485.75"/>
    <n v="36"/>
    <n v="53487"/>
    <n v="971.28000000000065"/>
    <x v="1"/>
    <x v="2"/>
    <x v="0"/>
  </r>
  <r>
    <d v="2023-09-22T00:00:00"/>
    <x v="8"/>
    <x v="0"/>
    <x v="2"/>
    <x v="1"/>
    <x v="2"/>
    <n v="4275.59"/>
    <n v="4576.72"/>
    <n v="22"/>
    <n v="100687.84000000001"/>
    <n v="6624.8600000000024"/>
    <x v="0"/>
    <x v="0"/>
    <x v="1"/>
  </r>
  <r>
    <d v="2023-09-23T00:00:00"/>
    <x v="8"/>
    <x v="0"/>
    <x v="3"/>
    <x v="0"/>
    <x v="1"/>
    <n v="3549.43"/>
    <n v="3967.6899999999901"/>
    <n v="42"/>
    <n v="166642.97999999957"/>
    <n v="17566.919999999591"/>
    <x v="1"/>
    <x v="1"/>
    <x v="0"/>
  </r>
  <r>
    <d v="2023-09-23T00:00:00"/>
    <x v="8"/>
    <x v="0"/>
    <x v="1"/>
    <x v="0"/>
    <x v="1"/>
    <n v="1047.25"/>
    <n v="1075.8900000000001"/>
    <n v="40"/>
    <n v="43035.600000000006"/>
    <n v="1145.600000000004"/>
    <x v="1"/>
    <x v="2"/>
    <x v="1"/>
  </r>
  <r>
    <d v="2023-09-23T00:00:00"/>
    <x v="8"/>
    <x v="0"/>
    <x v="1"/>
    <x v="0"/>
    <x v="2"/>
    <n v="1820.89"/>
    <n v="2257.92"/>
    <n v="19"/>
    <n v="42900.480000000003"/>
    <n v="8303.57"/>
    <x v="1"/>
    <x v="0"/>
    <x v="1"/>
  </r>
  <r>
    <d v="2023-09-24T00:00:00"/>
    <x v="8"/>
    <x v="0"/>
    <x v="0"/>
    <x v="1"/>
    <x v="3"/>
    <n v="122.5"/>
    <n v="385.83"/>
    <n v="6"/>
    <n v="2314.98"/>
    <n v="1579.98"/>
    <x v="0"/>
    <x v="0"/>
    <x v="1"/>
  </r>
  <r>
    <d v="2023-09-24T00:00:00"/>
    <x v="8"/>
    <x v="0"/>
    <x v="3"/>
    <x v="3"/>
    <x v="0"/>
    <n v="3461.15"/>
    <n v="3631.75"/>
    <n v="35"/>
    <n v="127111.25"/>
    <n v="5970.9999999999964"/>
    <x v="0"/>
    <x v="2"/>
    <x v="0"/>
  </r>
  <r>
    <d v="2023-09-24T00:00:00"/>
    <x v="8"/>
    <x v="0"/>
    <x v="1"/>
    <x v="2"/>
    <x v="0"/>
    <n v="1825.37"/>
    <n v="2073.88"/>
    <n v="41"/>
    <n v="85029.08"/>
    <n v="10188.910000000009"/>
    <x v="0"/>
    <x v="0"/>
    <x v="1"/>
  </r>
  <r>
    <d v="2023-09-24T00:00:00"/>
    <x v="8"/>
    <x v="0"/>
    <x v="3"/>
    <x v="1"/>
    <x v="3"/>
    <n v="2246.67"/>
    <n v="2486.14"/>
    <n v="48"/>
    <n v="119334.72"/>
    <n v="11494.55999999999"/>
    <x v="1"/>
    <x v="0"/>
    <x v="1"/>
  </r>
  <r>
    <d v="2023-09-24T00:00:00"/>
    <x v="8"/>
    <x v="0"/>
    <x v="4"/>
    <x v="3"/>
    <x v="3"/>
    <n v="4067.28"/>
    <n v="4548.09"/>
    <n v="9"/>
    <n v="40932.81"/>
    <n v="4327.2899999999991"/>
    <x v="0"/>
    <x v="2"/>
    <x v="1"/>
  </r>
  <r>
    <d v="2023-09-25T00:00:00"/>
    <x v="8"/>
    <x v="0"/>
    <x v="0"/>
    <x v="2"/>
    <x v="2"/>
    <n v="4127.05"/>
    <n v="4313.45"/>
    <n v="37"/>
    <n v="159597.65"/>
    <n v="6896.7999999999865"/>
    <x v="1"/>
    <x v="0"/>
    <x v="0"/>
  </r>
  <r>
    <d v="2023-09-25T00:00:00"/>
    <x v="8"/>
    <x v="0"/>
    <x v="0"/>
    <x v="3"/>
    <x v="3"/>
    <n v="1319.24"/>
    <n v="1805.56"/>
    <n v="47"/>
    <n v="84861.319999999992"/>
    <n v="22857.039999999997"/>
    <x v="1"/>
    <x v="2"/>
    <x v="1"/>
  </r>
  <r>
    <d v="2023-09-26T00:00:00"/>
    <x v="8"/>
    <x v="0"/>
    <x v="3"/>
    <x v="3"/>
    <x v="3"/>
    <n v="4503.7299999999996"/>
    <n v="4879.8799999999901"/>
    <n v="14"/>
    <n v="68318.319999999861"/>
    <n v="5266.0999999998676"/>
    <x v="1"/>
    <x v="1"/>
    <x v="1"/>
  </r>
  <r>
    <d v="2023-09-26T00:00:00"/>
    <x v="8"/>
    <x v="0"/>
    <x v="2"/>
    <x v="3"/>
    <x v="1"/>
    <n v="739.63"/>
    <n v="1103.03"/>
    <n v="25"/>
    <n v="27575.75"/>
    <n v="9085"/>
    <x v="1"/>
    <x v="1"/>
    <x v="1"/>
  </r>
  <r>
    <d v="2023-09-26T00:00:00"/>
    <x v="8"/>
    <x v="0"/>
    <x v="0"/>
    <x v="0"/>
    <x v="2"/>
    <n v="210.33"/>
    <n v="552.29"/>
    <n v="11"/>
    <n v="6075.19"/>
    <n v="3761.559999999999"/>
    <x v="0"/>
    <x v="0"/>
    <x v="1"/>
  </r>
  <r>
    <d v="2023-09-27T00:00:00"/>
    <x v="8"/>
    <x v="0"/>
    <x v="0"/>
    <x v="0"/>
    <x v="2"/>
    <n v="367.98"/>
    <n v="806.14"/>
    <n v="32"/>
    <n v="25796.48"/>
    <n v="14021.119999999999"/>
    <x v="0"/>
    <x v="2"/>
    <x v="1"/>
  </r>
  <r>
    <d v="2023-09-27T00:00:00"/>
    <x v="8"/>
    <x v="0"/>
    <x v="0"/>
    <x v="2"/>
    <x v="2"/>
    <n v="3578.77"/>
    <n v="3635.02"/>
    <n v="29"/>
    <n v="105415.58"/>
    <n v="1631.25"/>
    <x v="1"/>
    <x v="1"/>
    <x v="1"/>
  </r>
  <r>
    <d v="2023-09-27T00:00:00"/>
    <x v="8"/>
    <x v="0"/>
    <x v="0"/>
    <x v="0"/>
    <x v="0"/>
    <n v="4389.24"/>
    <n v="4856.2199999999903"/>
    <n v="12"/>
    <n v="58274.639999999883"/>
    <n v="5603.7599999998856"/>
    <x v="0"/>
    <x v="0"/>
    <x v="1"/>
  </r>
  <r>
    <d v="2023-09-28T00:00:00"/>
    <x v="8"/>
    <x v="0"/>
    <x v="0"/>
    <x v="1"/>
    <x v="0"/>
    <n v="4354.6000000000004"/>
    <n v="4820.2"/>
    <n v="27"/>
    <n v="130145.4"/>
    <n v="12571.199999999986"/>
    <x v="1"/>
    <x v="2"/>
    <x v="1"/>
  </r>
  <r>
    <d v="2023-09-28T00:00:00"/>
    <x v="8"/>
    <x v="0"/>
    <x v="4"/>
    <x v="2"/>
    <x v="1"/>
    <n v="3351.33"/>
    <n v="3465.35"/>
    <n v="44"/>
    <n v="152475.4"/>
    <n v="5016.8799999999992"/>
    <x v="0"/>
    <x v="1"/>
    <x v="0"/>
  </r>
  <r>
    <d v="2023-09-29T00:00:00"/>
    <x v="8"/>
    <x v="0"/>
    <x v="3"/>
    <x v="0"/>
    <x v="0"/>
    <n v="2588.67"/>
    <n v="2847.76"/>
    <n v="7"/>
    <n v="19934.32"/>
    <n v="1813.630000000001"/>
    <x v="1"/>
    <x v="0"/>
    <x v="1"/>
  </r>
  <r>
    <d v="2023-09-30T00:00:00"/>
    <x v="8"/>
    <x v="0"/>
    <x v="1"/>
    <x v="0"/>
    <x v="1"/>
    <n v="1563.78"/>
    <n v="1829.1599999999901"/>
    <n v="8"/>
    <n v="14633.279999999921"/>
    <n v="2123.0399999999208"/>
    <x v="0"/>
    <x v="0"/>
    <x v="0"/>
  </r>
  <r>
    <d v="2023-09-30T00:00:00"/>
    <x v="8"/>
    <x v="0"/>
    <x v="1"/>
    <x v="0"/>
    <x v="1"/>
    <n v="2900.14"/>
    <n v="2910.5099999999902"/>
    <n v="4"/>
    <n v="11642.039999999961"/>
    <n v="41.479999999961365"/>
    <x v="1"/>
    <x v="2"/>
    <x v="1"/>
  </r>
  <r>
    <d v="2023-09-30T00:00:00"/>
    <x v="8"/>
    <x v="0"/>
    <x v="4"/>
    <x v="3"/>
    <x v="3"/>
    <n v="169"/>
    <n v="381.91999999999899"/>
    <n v="30"/>
    <n v="11457.599999999969"/>
    <n v="6387.5999999999694"/>
    <x v="0"/>
    <x v="0"/>
    <x v="1"/>
  </r>
  <r>
    <d v="2023-10-01T00:00:00"/>
    <x v="9"/>
    <x v="0"/>
    <x v="4"/>
    <x v="2"/>
    <x v="2"/>
    <n v="3650.89"/>
    <n v="3930.06"/>
    <n v="5"/>
    <n v="19650.3"/>
    <n v="1395.8500000000004"/>
    <x v="1"/>
    <x v="1"/>
    <x v="0"/>
  </r>
  <r>
    <d v="2023-10-01T00:00:00"/>
    <x v="9"/>
    <x v="0"/>
    <x v="0"/>
    <x v="3"/>
    <x v="2"/>
    <n v="1534.7"/>
    <n v="1972.62"/>
    <n v="15"/>
    <n v="29589.3"/>
    <n v="6568.7999999999975"/>
    <x v="0"/>
    <x v="2"/>
    <x v="1"/>
  </r>
  <r>
    <d v="2023-10-01T00:00:00"/>
    <x v="9"/>
    <x v="0"/>
    <x v="0"/>
    <x v="3"/>
    <x v="2"/>
    <n v="2593.64"/>
    <n v="2955.5099999999902"/>
    <n v="22"/>
    <n v="65021.219999999783"/>
    <n v="7961.1399999997875"/>
    <x v="0"/>
    <x v="1"/>
    <x v="1"/>
  </r>
  <r>
    <d v="2023-10-02T00:00:00"/>
    <x v="9"/>
    <x v="0"/>
    <x v="2"/>
    <x v="3"/>
    <x v="2"/>
    <n v="3741.3"/>
    <n v="4061.04"/>
    <n v="29"/>
    <n v="117770.16"/>
    <n v="9272.4599999999937"/>
    <x v="0"/>
    <x v="2"/>
    <x v="0"/>
  </r>
  <r>
    <d v="2023-10-02T00:00:00"/>
    <x v="9"/>
    <x v="0"/>
    <x v="3"/>
    <x v="2"/>
    <x v="2"/>
    <n v="1486.76"/>
    <n v="1505.44"/>
    <n v="43"/>
    <n v="64733.920000000006"/>
    <n v="803.24000000000274"/>
    <x v="1"/>
    <x v="0"/>
    <x v="1"/>
  </r>
  <r>
    <d v="2023-10-04T00:00:00"/>
    <x v="9"/>
    <x v="0"/>
    <x v="0"/>
    <x v="3"/>
    <x v="3"/>
    <n v="4754.0200000000004"/>
    <n v="5080.74"/>
    <n v="12"/>
    <n v="60968.88"/>
    <n v="3920.6399999999921"/>
    <x v="1"/>
    <x v="0"/>
    <x v="0"/>
  </r>
  <r>
    <d v="2023-10-04T00:00:00"/>
    <x v="9"/>
    <x v="0"/>
    <x v="3"/>
    <x v="3"/>
    <x v="2"/>
    <n v="4904.93"/>
    <n v="5034.3500000000004"/>
    <n v="40"/>
    <n v="201374"/>
    <n v="5176.8000000000029"/>
    <x v="1"/>
    <x v="2"/>
    <x v="1"/>
  </r>
  <r>
    <d v="2023-10-05T00:00:00"/>
    <x v="9"/>
    <x v="0"/>
    <x v="4"/>
    <x v="1"/>
    <x v="3"/>
    <n v="2069.08"/>
    <n v="2246.2399999999998"/>
    <n v="27"/>
    <n v="60648.479999999996"/>
    <n v="4783.3199999999961"/>
    <x v="1"/>
    <x v="1"/>
    <x v="1"/>
  </r>
  <r>
    <d v="2023-10-05T00:00:00"/>
    <x v="9"/>
    <x v="0"/>
    <x v="4"/>
    <x v="1"/>
    <x v="1"/>
    <n v="4596.68"/>
    <n v="5044.74"/>
    <n v="4"/>
    <n v="20178.96"/>
    <n v="1792.239999999998"/>
    <x v="1"/>
    <x v="1"/>
    <x v="0"/>
  </r>
  <r>
    <d v="2023-10-07T00:00:00"/>
    <x v="9"/>
    <x v="0"/>
    <x v="3"/>
    <x v="2"/>
    <x v="1"/>
    <n v="3434.75"/>
    <n v="3659.42"/>
    <n v="3"/>
    <n v="10978.26"/>
    <n v="674.01000000000022"/>
    <x v="1"/>
    <x v="0"/>
    <x v="0"/>
  </r>
  <r>
    <d v="2023-10-07T00:00:00"/>
    <x v="9"/>
    <x v="0"/>
    <x v="4"/>
    <x v="1"/>
    <x v="2"/>
    <n v="647.70000000000005"/>
    <n v="902.26"/>
    <n v="23"/>
    <n v="20751.98"/>
    <n v="5854.8799999999992"/>
    <x v="1"/>
    <x v="1"/>
    <x v="0"/>
  </r>
  <r>
    <d v="2023-10-08T00:00:00"/>
    <x v="9"/>
    <x v="0"/>
    <x v="3"/>
    <x v="2"/>
    <x v="1"/>
    <n v="2933.54"/>
    <n v="3307.75"/>
    <n v="33"/>
    <n v="109155.75"/>
    <n v="12348.93"/>
    <x v="0"/>
    <x v="1"/>
    <x v="1"/>
  </r>
  <r>
    <d v="2023-10-08T00:00:00"/>
    <x v="9"/>
    <x v="0"/>
    <x v="0"/>
    <x v="3"/>
    <x v="3"/>
    <n v="2025.67"/>
    <n v="2081.5500000000002"/>
    <n v="11"/>
    <n v="22897.050000000003"/>
    <n v="614.6800000000012"/>
    <x v="1"/>
    <x v="1"/>
    <x v="0"/>
  </r>
  <r>
    <d v="2023-10-09T00:00:00"/>
    <x v="9"/>
    <x v="0"/>
    <x v="2"/>
    <x v="2"/>
    <x v="2"/>
    <n v="1509.98"/>
    <n v="1792.83"/>
    <n v="41"/>
    <n v="73506.03"/>
    <n v="11596.849999999997"/>
    <x v="1"/>
    <x v="0"/>
    <x v="1"/>
  </r>
  <r>
    <d v="2023-10-09T00:00:00"/>
    <x v="9"/>
    <x v="0"/>
    <x v="3"/>
    <x v="3"/>
    <x v="2"/>
    <n v="1581.59"/>
    <n v="2034.1499999999901"/>
    <n v="4"/>
    <n v="8136.5999999999603"/>
    <n v="1810.2399999999607"/>
    <x v="0"/>
    <x v="0"/>
    <x v="0"/>
  </r>
  <r>
    <d v="2023-10-09T00:00:00"/>
    <x v="9"/>
    <x v="0"/>
    <x v="1"/>
    <x v="2"/>
    <x v="0"/>
    <n v="2228.35"/>
    <n v="2682.34"/>
    <n v="18"/>
    <n v="48282.12"/>
    <n v="8171.8200000000043"/>
    <x v="1"/>
    <x v="1"/>
    <x v="0"/>
  </r>
  <r>
    <d v="2023-10-09T00:00:00"/>
    <x v="9"/>
    <x v="0"/>
    <x v="2"/>
    <x v="0"/>
    <x v="0"/>
    <n v="621.04999999999995"/>
    <n v="820.36999999999898"/>
    <n v="21"/>
    <n v="17227.769999999979"/>
    <n v="4185.7199999999793"/>
    <x v="0"/>
    <x v="1"/>
    <x v="0"/>
  </r>
  <r>
    <d v="2023-10-10T00:00:00"/>
    <x v="9"/>
    <x v="0"/>
    <x v="2"/>
    <x v="2"/>
    <x v="1"/>
    <n v="2602.6"/>
    <n v="3013.49"/>
    <n v="18"/>
    <n v="54242.819999999992"/>
    <n v="7396.0199999999977"/>
    <x v="0"/>
    <x v="1"/>
    <x v="0"/>
  </r>
  <r>
    <d v="2023-10-11T00:00:00"/>
    <x v="9"/>
    <x v="0"/>
    <x v="0"/>
    <x v="1"/>
    <x v="2"/>
    <n v="2866.47"/>
    <n v="3286.47"/>
    <n v="32"/>
    <n v="105167.03999999999"/>
    <n v="13440"/>
    <x v="1"/>
    <x v="2"/>
    <x v="0"/>
  </r>
  <r>
    <d v="2023-10-12T00:00:00"/>
    <x v="9"/>
    <x v="0"/>
    <x v="1"/>
    <x v="0"/>
    <x v="1"/>
    <n v="4298.74"/>
    <n v="4475.1899999999996"/>
    <n v="20"/>
    <n v="89503.799999999988"/>
    <n v="3528.9999999999964"/>
    <x v="0"/>
    <x v="0"/>
    <x v="0"/>
  </r>
  <r>
    <d v="2023-10-12T00:00:00"/>
    <x v="9"/>
    <x v="0"/>
    <x v="1"/>
    <x v="2"/>
    <x v="0"/>
    <n v="4977.78"/>
    <n v="4995.55"/>
    <n v="16"/>
    <n v="79928.800000000003"/>
    <n v="284.32000000000698"/>
    <x v="1"/>
    <x v="2"/>
    <x v="0"/>
  </r>
  <r>
    <d v="2023-10-12T00:00:00"/>
    <x v="9"/>
    <x v="0"/>
    <x v="4"/>
    <x v="0"/>
    <x v="0"/>
    <n v="1291.9100000000001"/>
    <n v="1528.59"/>
    <n v="17"/>
    <n v="25986.03"/>
    <n v="4023.5599999999972"/>
    <x v="0"/>
    <x v="2"/>
    <x v="1"/>
  </r>
  <r>
    <d v="2023-10-12T00:00:00"/>
    <x v="9"/>
    <x v="0"/>
    <x v="2"/>
    <x v="0"/>
    <x v="2"/>
    <n v="3136.42"/>
    <n v="3198.49"/>
    <n v="46"/>
    <n v="147130.53999999998"/>
    <n v="2855.2199999999866"/>
    <x v="0"/>
    <x v="0"/>
    <x v="1"/>
  </r>
  <r>
    <d v="2023-10-12T00:00:00"/>
    <x v="9"/>
    <x v="0"/>
    <x v="2"/>
    <x v="1"/>
    <x v="2"/>
    <n v="557.52"/>
    <n v="822.39"/>
    <n v="23"/>
    <n v="18914.97"/>
    <n v="6092.01"/>
    <x v="0"/>
    <x v="2"/>
    <x v="0"/>
  </r>
  <r>
    <d v="2023-10-12T00:00:00"/>
    <x v="9"/>
    <x v="0"/>
    <x v="2"/>
    <x v="1"/>
    <x v="1"/>
    <n v="3512.69"/>
    <n v="3964.63"/>
    <n v="25"/>
    <n v="99115.75"/>
    <n v="11298.500000000002"/>
    <x v="0"/>
    <x v="2"/>
    <x v="1"/>
  </r>
  <r>
    <d v="2023-10-13T00:00:00"/>
    <x v="9"/>
    <x v="0"/>
    <x v="0"/>
    <x v="2"/>
    <x v="2"/>
    <n v="1542.24"/>
    <n v="1739.45"/>
    <n v="24"/>
    <n v="41746.800000000003"/>
    <n v="4733.0400000000009"/>
    <x v="0"/>
    <x v="1"/>
    <x v="1"/>
  </r>
  <r>
    <d v="2023-10-13T00:00:00"/>
    <x v="9"/>
    <x v="0"/>
    <x v="1"/>
    <x v="0"/>
    <x v="3"/>
    <n v="1996.64"/>
    <n v="2341.4699999999998"/>
    <n v="14"/>
    <n v="32780.579999999994"/>
    <n v="4827.6199999999953"/>
    <x v="0"/>
    <x v="2"/>
    <x v="0"/>
  </r>
  <r>
    <d v="2023-10-14T00:00:00"/>
    <x v="9"/>
    <x v="0"/>
    <x v="2"/>
    <x v="1"/>
    <x v="0"/>
    <n v="1004.71"/>
    <n v="1389.35"/>
    <n v="39"/>
    <n v="54184.649999999994"/>
    <n v="15000.959999999995"/>
    <x v="1"/>
    <x v="1"/>
    <x v="0"/>
  </r>
  <r>
    <d v="2023-10-14T00:00:00"/>
    <x v="9"/>
    <x v="0"/>
    <x v="1"/>
    <x v="1"/>
    <x v="3"/>
    <n v="1727.78"/>
    <n v="1984.34"/>
    <n v="23"/>
    <n v="45639.82"/>
    <n v="5900.8799999999992"/>
    <x v="0"/>
    <x v="1"/>
    <x v="0"/>
  </r>
  <r>
    <d v="2023-10-15T00:00:00"/>
    <x v="9"/>
    <x v="0"/>
    <x v="2"/>
    <x v="0"/>
    <x v="3"/>
    <n v="1485.72"/>
    <n v="1717.97"/>
    <n v="44"/>
    <n v="75590.680000000008"/>
    <n v="10219"/>
    <x v="1"/>
    <x v="2"/>
    <x v="1"/>
  </r>
  <r>
    <d v="2023-10-15T00:00:00"/>
    <x v="9"/>
    <x v="0"/>
    <x v="2"/>
    <x v="0"/>
    <x v="1"/>
    <n v="610.83000000000004"/>
    <n v="808.69"/>
    <n v="1"/>
    <n v="808.69"/>
    <n v="197.86"/>
    <x v="1"/>
    <x v="2"/>
    <x v="0"/>
  </r>
  <r>
    <d v="2023-10-15T00:00:00"/>
    <x v="9"/>
    <x v="0"/>
    <x v="2"/>
    <x v="2"/>
    <x v="0"/>
    <n v="2709.84"/>
    <n v="2766.51"/>
    <n v="31"/>
    <n v="85761.810000000012"/>
    <n v="1756.7700000000023"/>
    <x v="1"/>
    <x v="0"/>
    <x v="1"/>
  </r>
  <r>
    <d v="2023-10-15T00:00:00"/>
    <x v="9"/>
    <x v="0"/>
    <x v="1"/>
    <x v="0"/>
    <x v="2"/>
    <n v="3139.99"/>
    <n v="3349.37"/>
    <n v="42"/>
    <n v="140673.54"/>
    <n v="8793.9600000000046"/>
    <x v="0"/>
    <x v="2"/>
    <x v="1"/>
  </r>
  <r>
    <d v="2023-10-15T00:00:00"/>
    <x v="9"/>
    <x v="0"/>
    <x v="3"/>
    <x v="2"/>
    <x v="3"/>
    <n v="3663.51"/>
    <n v="4007.98"/>
    <n v="46"/>
    <n v="184367.08"/>
    <n v="15845.619999999992"/>
    <x v="1"/>
    <x v="0"/>
    <x v="0"/>
  </r>
  <r>
    <d v="2023-10-15T00:00:00"/>
    <x v="9"/>
    <x v="0"/>
    <x v="1"/>
    <x v="1"/>
    <x v="2"/>
    <n v="4766.53"/>
    <n v="5253.07"/>
    <n v="48"/>
    <n v="252147.36"/>
    <n v="23353.919999999998"/>
    <x v="0"/>
    <x v="1"/>
    <x v="0"/>
  </r>
  <r>
    <d v="2023-10-15T00:00:00"/>
    <x v="9"/>
    <x v="0"/>
    <x v="2"/>
    <x v="3"/>
    <x v="2"/>
    <n v="3592.89"/>
    <n v="4004"/>
    <n v="39"/>
    <n v="156156"/>
    <n v="16033.290000000005"/>
    <x v="1"/>
    <x v="0"/>
    <x v="0"/>
  </r>
  <r>
    <d v="2023-10-16T00:00:00"/>
    <x v="9"/>
    <x v="0"/>
    <x v="1"/>
    <x v="0"/>
    <x v="3"/>
    <n v="2937.94"/>
    <n v="3007.53"/>
    <n v="23"/>
    <n v="69173.19"/>
    <n v="1600.5700000000033"/>
    <x v="0"/>
    <x v="0"/>
    <x v="1"/>
  </r>
  <r>
    <d v="2023-10-16T00:00:00"/>
    <x v="9"/>
    <x v="0"/>
    <x v="0"/>
    <x v="2"/>
    <x v="2"/>
    <n v="3094.57"/>
    <n v="3565.6"/>
    <n v="11"/>
    <n v="39221.599999999999"/>
    <n v="5181.3299999999972"/>
    <x v="0"/>
    <x v="2"/>
    <x v="1"/>
  </r>
  <r>
    <d v="2023-10-16T00:00:00"/>
    <x v="9"/>
    <x v="0"/>
    <x v="4"/>
    <x v="2"/>
    <x v="0"/>
    <n v="287.99"/>
    <n v="666.64"/>
    <n v="43"/>
    <n v="28665.52"/>
    <n v="16281.949999999999"/>
    <x v="0"/>
    <x v="1"/>
    <x v="0"/>
  </r>
  <r>
    <d v="2023-10-16T00:00:00"/>
    <x v="9"/>
    <x v="0"/>
    <x v="3"/>
    <x v="0"/>
    <x v="1"/>
    <n v="121.19"/>
    <n v="487.65"/>
    <n v="48"/>
    <n v="23407.199999999997"/>
    <n v="17590.079999999998"/>
    <x v="1"/>
    <x v="0"/>
    <x v="1"/>
  </r>
  <r>
    <d v="2023-10-16T00:00:00"/>
    <x v="9"/>
    <x v="0"/>
    <x v="2"/>
    <x v="3"/>
    <x v="0"/>
    <n v="4173.5200000000004"/>
    <n v="4294.8500000000004"/>
    <n v="46"/>
    <n v="197563.1"/>
    <n v="5581.1799999999967"/>
    <x v="0"/>
    <x v="1"/>
    <x v="1"/>
  </r>
  <r>
    <d v="2023-10-16T00:00:00"/>
    <x v="9"/>
    <x v="0"/>
    <x v="0"/>
    <x v="3"/>
    <x v="1"/>
    <n v="4651.7700000000004"/>
    <n v="4984.3900000000003"/>
    <n v="37"/>
    <n v="184422.43000000002"/>
    <n v="12306.939999999995"/>
    <x v="0"/>
    <x v="0"/>
    <x v="1"/>
  </r>
  <r>
    <d v="2023-10-16T00:00:00"/>
    <x v="9"/>
    <x v="0"/>
    <x v="1"/>
    <x v="0"/>
    <x v="0"/>
    <n v="1134.67"/>
    <n v="1201.3900000000001"/>
    <n v="4"/>
    <n v="4805.5600000000004"/>
    <n v="266.88000000000011"/>
    <x v="1"/>
    <x v="1"/>
    <x v="1"/>
  </r>
  <r>
    <d v="2023-10-18T00:00:00"/>
    <x v="9"/>
    <x v="0"/>
    <x v="4"/>
    <x v="0"/>
    <x v="2"/>
    <n v="224.32"/>
    <n v="715.06"/>
    <n v="28"/>
    <n v="20021.68"/>
    <n v="13740.72"/>
    <x v="0"/>
    <x v="2"/>
    <x v="0"/>
  </r>
  <r>
    <d v="2023-10-18T00:00:00"/>
    <x v="9"/>
    <x v="0"/>
    <x v="0"/>
    <x v="2"/>
    <x v="1"/>
    <n v="3016.9"/>
    <n v="3040.73"/>
    <n v="16"/>
    <n v="48651.68"/>
    <n v="381.27999999999884"/>
    <x v="1"/>
    <x v="1"/>
    <x v="1"/>
  </r>
  <r>
    <d v="2023-10-18T00:00:00"/>
    <x v="9"/>
    <x v="0"/>
    <x v="2"/>
    <x v="0"/>
    <x v="3"/>
    <n v="3841.05"/>
    <n v="4323.62"/>
    <n v="15"/>
    <n v="64854.299999999996"/>
    <n v="7238.5499999999956"/>
    <x v="0"/>
    <x v="2"/>
    <x v="1"/>
  </r>
  <r>
    <d v="2023-10-18T00:00:00"/>
    <x v="9"/>
    <x v="0"/>
    <x v="0"/>
    <x v="2"/>
    <x v="1"/>
    <n v="725.03"/>
    <n v="828.94999999999902"/>
    <n v="21"/>
    <n v="17407.949999999979"/>
    <n v="2182.3199999999802"/>
    <x v="1"/>
    <x v="1"/>
    <x v="0"/>
  </r>
  <r>
    <d v="2023-10-19T00:00:00"/>
    <x v="9"/>
    <x v="0"/>
    <x v="0"/>
    <x v="1"/>
    <x v="0"/>
    <n v="4697.4399999999996"/>
    <n v="4752.24"/>
    <n v="30"/>
    <n v="142567.19999999998"/>
    <n v="1644.0000000000055"/>
    <x v="1"/>
    <x v="2"/>
    <x v="0"/>
  </r>
  <r>
    <d v="2023-10-19T00:00:00"/>
    <x v="9"/>
    <x v="0"/>
    <x v="0"/>
    <x v="2"/>
    <x v="3"/>
    <n v="2120.54"/>
    <n v="2597.67"/>
    <n v="23"/>
    <n v="59746.41"/>
    <n v="10973.990000000002"/>
    <x v="0"/>
    <x v="2"/>
    <x v="1"/>
  </r>
  <r>
    <d v="2023-10-20T00:00:00"/>
    <x v="9"/>
    <x v="0"/>
    <x v="2"/>
    <x v="0"/>
    <x v="0"/>
    <n v="4646.55"/>
    <n v="4784.28"/>
    <n v="30"/>
    <n v="143528.4"/>
    <n v="4131.8999999999869"/>
    <x v="0"/>
    <x v="2"/>
    <x v="1"/>
  </r>
  <r>
    <d v="2023-10-20T00:00:00"/>
    <x v="9"/>
    <x v="0"/>
    <x v="2"/>
    <x v="3"/>
    <x v="2"/>
    <n v="1648.8"/>
    <n v="1670.36"/>
    <n v="46"/>
    <n v="76836.56"/>
    <n v="991.75999999999749"/>
    <x v="0"/>
    <x v="2"/>
    <x v="1"/>
  </r>
  <r>
    <d v="2023-10-20T00:00:00"/>
    <x v="9"/>
    <x v="0"/>
    <x v="2"/>
    <x v="0"/>
    <x v="0"/>
    <n v="1247.0999999999999"/>
    <n v="1429.4399999999901"/>
    <n v="49"/>
    <n v="70042.559999999517"/>
    <n v="8934.659999999516"/>
    <x v="1"/>
    <x v="0"/>
    <x v="0"/>
  </r>
  <r>
    <d v="2023-10-20T00:00:00"/>
    <x v="9"/>
    <x v="0"/>
    <x v="1"/>
    <x v="1"/>
    <x v="3"/>
    <n v="530.04"/>
    <n v="759.31999999999903"/>
    <n v="22"/>
    <n v="16705.039999999979"/>
    <n v="5044.1599999999798"/>
    <x v="0"/>
    <x v="1"/>
    <x v="1"/>
  </r>
  <r>
    <d v="2023-10-20T00:00:00"/>
    <x v="9"/>
    <x v="0"/>
    <x v="4"/>
    <x v="1"/>
    <x v="2"/>
    <n v="3717.3"/>
    <n v="4061.37"/>
    <n v="6"/>
    <n v="24368.22"/>
    <n v="2064.4199999999983"/>
    <x v="1"/>
    <x v="1"/>
    <x v="1"/>
  </r>
  <r>
    <d v="2023-10-20T00:00:00"/>
    <x v="9"/>
    <x v="0"/>
    <x v="2"/>
    <x v="1"/>
    <x v="1"/>
    <n v="84.86"/>
    <n v="517.17999999999995"/>
    <n v="32"/>
    <n v="16549.759999999998"/>
    <n v="13834.239999999998"/>
    <x v="0"/>
    <x v="2"/>
    <x v="1"/>
  </r>
  <r>
    <d v="2023-10-20T00:00:00"/>
    <x v="9"/>
    <x v="0"/>
    <x v="2"/>
    <x v="1"/>
    <x v="0"/>
    <n v="2927.02"/>
    <n v="3387.21"/>
    <n v="10"/>
    <n v="33872.1"/>
    <n v="4601.9000000000005"/>
    <x v="0"/>
    <x v="0"/>
    <x v="1"/>
  </r>
  <r>
    <d v="2023-10-20T00:00:00"/>
    <x v="9"/>
    <x v="0"/>
    <x v="2"/>
    <x v="1"/>
    <x v="0"/>
    <n v="93.45"/>
    <n v="181.62"/>
    <n v="23"/>
    <n v="4177.26"/>
    <n v="2027.91"/>
    <x v="0"/>
    <x v="1"/>
    <x v="1"/>
  </r>
  <r>
    <d v="2023-10-21T00:00:00"/>
    <x v="9"/>
    <x v="0"/>
    <x v="2"/>
    <x v="3"/>
    <x v="2"/>
    <n v="1533.36"/>
    <n v="1649.73999999999"/>
    <n v="20"/>
    <n v="32994.799999999799"/>
    <n v="2327.5999999998021"/>
    <x v="0"/>
    <x v="1"/>
    <x v="0"/>
  </r>
  <r>
    <d v="2023-10-21T00:00:00"/>
    <x v="9"/>
    <x v="0"/>
    <x v="4"/>
    <x v="2"/>
    <x v="1"/>
    <n v="2558.09"/>
    <n v="2958.55"/>
    <n v="45"/>
    <n v="133134.75"/>
    <n v="18020.7"/>
    <x v="1"/>
    <x v="0"/>
    <x v="0"/>
  </r>
  <r>
    <d v="2023-10-22T00:00:00"/>
    <x v="9"/>
    <x v="0"/>
    <x v="2"/>
    <x v="0"/>
    <x v="1"/>
    <n v="2462.5500000000002"/>
    <n v="2521.77"/>
    <n v="34"/>
    <n v="85740.18"/>
    <n v="2013.4799999999932"/>
    <x v="1"/>
    <x v="1"/>
    <x v="1"/>
  </r>
  <r>
    <d v="2023-10-22T00:00:00"/>
    <x v="9"/>
    <x v="0"/>
    <x v="0"/>
    <x v="1"/>
    <x v="0"/>
    <n v="3233.37"/>
    <n v="3723.21"/>
    <n v="40"/>
    <n v="148928.4"/>
    <n v="19593.600000000006"/>
    <x v="1"/>
    <x v="1"/>
    <x v="1"/>
  </r>
  <r>
    <d v="2023-10-22T00:00:00"/>
    <x v="9"/>
    <x v="0"/>
    <x v="3"/>
    <x v="0"/>
    <x v="1"/>
    <n v="3648.04"/>
    <n v="4143.51"/>
    <n v="11"/>
    <n v="45578.61"/>
    <n v="5450.1700000000028"/>
    <x v="0"/>
    <x v="2"/>
    <x v="1"/>
  </r>
  <r>
    <d v="2023-10-22T00:00:00"/>
    <x v="9"/>
    <x v="0"/>
    <x v="3"/>
    <x v="2"/>
    <x v="0"/>
    <n v="906.47"/>
    <n v="1283.04"/>
    <n v="43"/>
    <n v="55170.720000000001"/>
    <n v="16192.509999999997"/>
    <x v="1"/>
    <x v="0"/>
    <x v="0"/>
  </r>
  <r>
    <d v="2023-10-23T00:00:00"/>
    <x v="9"/>
    <x v="0"/>
    <x v="2"/>
    <x v="1"/>
    <x v="3"/>
    <n v="309.77999999999997"/>
    <n v="350.38"/>
    <n v="42"/>
    <n v="14715.96"/>
    <n v="1705.200000000001"/>
    <x v="0"/>
    <x v="2"/>
    <x v="1"/>
  </r>
  <r>
    <d v="2023-10-23T00:00:00"/>
    <x v="9"/>
    <x v="0"/>
    <x v="2"/>
    <x v="3"/>
    <x v="3"/>
    <n v="4117.13"/>
    <n v="4177.0600000000004"/>
    <n v="8"/>
    <n v="33416.480000000003"/>
    <n v="479.44000000000233"/>
    <x v="0"/>
    <x v="1"/>
    <x v="1"/>
  </r>
  <r>
    <d v="2023-10-23T00:00:00"/>
    <x v="9"/>
    <x v="0"/>
    <x v="2"/>
    <x v="1"/>
    <x v="2"/>
    <n v="4325.0200000000004"/>
    <n v="4391.67"/>
    <n v="48"/>
    <n v="210800.16"/>
    <n v="3199.1999999999825"/>
    <x v="0"/>
    <x v="2"/>
    <x v="1"/>
  </r>
  <r>
    <d v="2023-10-23T00:00:00"/>
    <x v="9"/>
    <x v="0"/>
    <x v="3"/>
    <x v="2"/>
    <x v="0"/>
    <n v="1747.05"/>
    <n v="1830.27"/>
    <n v="46"/>
    <n v="84192.42"/>
    <n v="3828.1200000000013"/>
    <x v="1"/>
    <x v="1"/>
    <x v="1"/>
  </r>
  <r>
    <d v="2023-10-23T00:00:00"/>
    <x v="9"/>
    <x v="0"/>
    <x v="1"/>
    <x v="1"/>
    <x v="0"/>
    <n v="4369.5"/>
    <n v="4381.8900000000003"/>
    <n v="45"/>
    <n v="197185.05000000002"/>
    <n v="557.55000000001473"/>
    <x v="0"/>
    <x v="2"/>
    <x v="1"/>
  </r>
  <r>
    <d v="2023-10-24T00:00:00"/>
    <x v="9"/>
    <x v="0"/>
    <x v="2"/>
    <x v="3"/>
    <x v="3"/>
    <n v="1741.66"/>
    <n v="2169.86"/>
    <n v="45"/>
    <n v="97643.700000000012"/>
    <n v="19269.000000000004"/>
    <x v="0"/>
    <x v="2"/>
    <x v="0"/>
  </r>
  <r>
    <d v="2023-10-24T00:00:00"/>
    <x v="9"/>
    <x v="0"/>
    <x v="3"/>
    <x v="3"/>
    <x v="0"/>
    <n v="551.83000000000004"/>
    <n v="569.63"/>
    <n v="28"/>
    <n v="15949.64"/>
    <n v="498.39999999999873"/>
    <x v="1"/>
    <x v="2"/>
    <x v="1"/>
  </r>
  <r>
    <d v="2023-10-26T00:00:00"/>
    <x v="9"/>
    <x v="0"/>
    <x v="4"/>
    <x v="3"/>
    <x v="2"/>
    <n v="4686.79"/>
    <n v="5046.51"/>
    <n v="27"/>
    <n v="136255.77000000002"/>
    <n v="9712.440000000006"/>
    <x v="0"/>
    <x v="2"/>
    <x v="1"/>
  </r>
  <r>
    <d v="2023-10-27T00:00:00"/>
    <x v="9"/>
    <x v="0"/>
    <x v="0"/>
    <x v="0"/>
    <x v="3"/>
    <n v="3139.36"/>
    <n v="3423.66"/>
    <n v="27"/>
    <n v="92438.819999999992"/>
    <n v="7676.0999999999931"/>
    <x v="1"/>
    <x v="2"/>
    <x v="0"/>
  </r>
  <r>
    <d v="2023-10-27T00:00:00"/>
    <x v="9"/>
    <x v="0"/>
    <x v="2"/>
    <x v="0"/>
    <x v="1"/>
    <n v="3851.45"/>
    <n v="4186.9799999999996"/>
    <n v="43"/>
    <n v="180040.13999999998"/>
    <n v="14427.78999999999"/>
    <x v="0"/>
    <x v="2"/>
    <x v="0"/>
  </r>
  <r>
    <d v="2023-10-28T00:00:00"/>
    <x v="9"/>
    <x v="0"/>
    <x v="2"/>
    <x v="0"/>
    <x v="0"/>
    <n v="4781.42"/>
    <n v="4864.34"/>
    <n v="43"/>
    <n v="209166.62"/>
    <n v="3565.5600000000031"/>
    <x v="0"/>
    <x v="1"/>
    <x v="0"/>
  </r>
  <r>
    <d v="2023-10-28T00:00:00"/>
    <x v="9"/>
    <x v="0"/>
    <x v="3"/>
    <x v="2"/>
    <x v="1"/>
    <n v="1127.76"/>
    <n v="1265.6600000000001"/>
    <n v="38"/>
    <n v="48095.08"/>
    <n v="5240.2000000000035"/>
    <x v="0"/>
    <x v="1"/>
    <x v="1"/>
  </r>
  <r>
    <d v="2023-10-28T00:00:00"/>
    <x v="9"/>
    <x v="0"/>
    <x v="1"/>
    <x v="0"/>
    <x v="3"/>
    <n v="1411.37"/>
    <n v="1675.35"/>
    <n v="23"/>
    <n v="38533.049999999996"/>
    <n v="6071.5400000000009"/>
    <x v="1"/>
    <x v="0"/>
    <x v="1"/>
  </r>
  <r>
    <d v="2023-10-28T00:00:00"/>
    <x v="9"/>
    <x v="0"/>
    <x v="3"/>
    <x v="2"/>
    <x v="1"/>
    <n v="2184.4899999999998"/>
    <n v="2540.4199999999901"/>
    <n v="39"/>
    <n v="99076.379999999612"/>
    <n v="13881.269999999622"/>
    <x v="0"/>
    <x v="1"/>
    <x v="0"/>
  </r>
  <r>
    <d v="2023-10-29T00:00:00"/>
    <x v="9"/>
    <x v="0"/>
    <x v="0"/>
    <x v="3"/>
    <x v="1"/>
    <n v="641.67999999999995"/>
    <n v="752.24"/>
    <n v="1"/>
    <n v="752.24"/>
    <n v="110.56000000000006"/>
    <x v="1"/>
    <x v="1"/>
    <x v="0"/>
  </r>
  <r>
    <d v="2023-10-29T00:00:00"/>
    <x v="9"/>
    <x v="0"/>
    <x v="2"/>
    <x v="2"/>
    <x v="3"/>
    <n v="333.69"/>
    <n v="685.1"/>
    <n v="31"/>
    <n v="21238.100000000002"/>
    <n v="10893.710000000001"/>
    <x v="1"/>
    <x v="1"/>
    <x v="0"/>
  </r>
  <r>
    <d v="2023-10-29T00:00:00"/>
    <x v="9"/>
    <x v="0"/>
    <x v="2"/>
    <x v="0"/>
    <x v="3"/>
    <n v="978.15"/>
    <n v="1040.21"/>
    <n v="34"/>
    <n v="35367.14"/>
    <n v="2110.0400000000018"/>
    <x v="1"/>
    <x v="2"/>
    <x v="1"/>
  </r>
  <r>
    <d v="2023-10-29T00:00:00"/>
    <x v="9"/>
    <x v="0"/>
    <x v="1"/>
    <x v="0"/>
    <x v="0"/>
    <n v="1812.66"/>
    <n v="2196.3000000000002"/>
    <n v="11"/>
    <n v="24159.300000000003"/>
    <n v="4220.0400000000009"/>
    <x v="1"/>
    <x v="0"/>
    <x v="0"/>
  </r>
  <r>
    <d v="2023-10-29T00:00:00"/>
    <x v="9"/>
    <x v="0"/>
    <x v="2"/>
    <x v="2"/>
    <x v="0"/>
    <n v="3610.21"/>
    <n v="3817.99"/>
    <n v="8"/>
    <n v="30543.919999999998"/>
    <n v="1662.239999999998"/>
    <x v="0"/>
    <x v="0"/>
    <x v="1"/>
  </r>
  <r>
    <d v="2023-10-30T00:00:00"/>
    <x v="9"/>
    <x v="0"/>
    <x v="0"/>
    <x v="3"/>
    <x v="2"/>
    <n v="2572.8000000000002"/>
    <n v="2760.6"/>
    <n v="16"/>
    <n v="44169.599999999999"/>
    <n v="3004.7999999999956"/>
    <x v="0"/>
    <x v="2"/>
    <x v="1"/>
  </r>
  <r>
    <d v="2023-10-30T00:00:00"/>
    <x v="9"/>
    <x v="0"/>
    <x v="4"/>
    <x v="3"/>
    <x v="3"/>
    <n v="4243.9799999999996"/>
    <n v="4474.5099999999902"/>
    <n v="38"/>
    <n v="170031.37999999963"/>
    <n v="8760.1399999996447"/>
    <x v="1"/>
    <x v="2"/>
    <x v="0"/>
  </r>
  <r>
    <d v="2023-10-30T00:00:00"/>
    <x v="9"/>
    <x v="0"/>
    <x v="2"/>
    <x v="0"/>
    <x v="3"/>
    <n v="2258.44"/>
    <n v="2475.56"/>
    <n v="1"/>
    <n v="2475.56"/>
    <n v="217.11999999999989"/>
    <x v="1"/>
    <x v="0"/>
    <x v="0"/>
  </r>
  <r>
    <d v="2023-10-30T00:00:00"/>
    <x v="9"/>
    <x v="0"/>
    <x v="4"/>
    <x v="2"/>
    <x v="2"/>
    <n v="2701.39"/>
    <n v="3185.81"/>
    <n v="22"/>
    <n v="70087.819999999992"/>
    <n v="10657.240000000002"/>
    <x v="1"/>
    <x v="1"/>
    <x v="0"/>
  </r>
  <r>
    <d v="2023-10-30T00:00:00"/>
    <x v="9"/>
    <x v="0"/>
    <x v="0"/>
    <x v="2"/>
    <x v="2"/>
    <n v="4264.46"/>
    <n v="4315.5200000000004"/>
    <n v="49"/>
    <n v="211460.48000000001"/>
    <n v="2501.9400000000196"/>
    <x v="1"/>
    <x v="0"/>
    <x v="1"/>
  </r>
  <r>
    <d v="2023-10-31T00:00:00"/>
    <x v="9"/>
    <x v="0"/>
    <x v="0"/>
    <x v="3"/>
    <x v="1"/>
    <n v="3124.48"/>
    <n v="3553.27"/>
    <n v="18"/>
    <n v="63958.86"/>
    <n v="7718.2199999999993"/>
    <x v="0"/>
    <x v="0"/>
    <x v="1"/>
  </r>
  <r>
    <d v="2023-11-01T00:00:00"/>
    <x v="10"/>
    <x v="0"/>
    <x v="3"/>
    <x v="1"/>
    <x v="3"/>
    <n v="547.79"/>
    <n v="958.76"/>
    <n v="14"/>
    <n v="13422.64"/>
    <n v="5753.58"/>
    <x v="0"/>
    <x v="2"/>
    <x v="1"/>
  </r>
  <r>
    <d v="2023-11-01T00:00:00"/>
    <x v="10"/>
    <x v="0"/>
    <x v="4"/>
    <x v="1"/>
    <x v="0"/>
    <n v="3067.05"/>
    <n v="3386.33"/>
    <n v="36"/>
    <n v="121907.88"/>
    <n v="11494.079999999991"/>
    <x v="1"/>
    <x v="1"/>
    <x v="0"/>
  </r>
  <r>
    <d v="2023-11-01T00:00:00"/>
    <x v="10"/>
    <x v="0"/>
    <x v="3"/>
    <x v="3"/>
    <x v="3"/>
    <n v="911.11"/>
    <n v="1214.56"/>
    <n v="24"/>
    <n v="29149.439999999999"/>
    <n v="7282.7999999999984"/>
    <x v="1"/>
    <x v="1"/>
    <x v="0"/>
  </r>
  <r>
    <d v="2023-11-01T00:00:00"/>
    <x v="10"/>
    <x v="0"/>
    <x v="3"/>
    <x v="3"/>
    <x v="3"/>
    <n v="1050.6400000000001"/>
    <n v="1167.33"/>
    <n v="36"/>
    <n v="42023.88"/>
    <n v="4200.8399999999938"/>
    <x v="1"/>
    <x v="0"/>
    <x v="0"/>
  </r>
  <r>
    <d v="2023-11-01T00:00:00"/>
    <x v="10"/>
    <x v="0"/>
    <x v="1"/>
    <x v="0"/>
    <x v="0"/>
    <n v="401.64"/>
    <n v="757.26"/>
    <n v="46"/>
    <n v="34833.96"/>
    <n v="16358.52"/>
    <x v="1"/>
    <x v="2"/>
    <x v="1"/>
  </r>
  <r>
    <d v="2023-11-01T00:00:00"/>
    <x v="10"/>
    <x v="0"/>
    <x v="3"/>
    <x v="1"/>
    <x v="3"/>
    <n v="2774.24"/>
    <n v="3069.9399999999901"/>
    <n v="17"/>
    <n v="52188.979999999829"/>
    <n v="5026.8999999998341"/>
    <x v="0"/>
    <x v="1"/>
    <x v="1"/>
  </r>
  <r>
    <d v="2023-11-02T00:00:00"/>
    <x v="10"/>
    <x v="0"/>
    <x v="1"/>
    <x v="0"/>
    <x v="1"/>
    <n v="530.24"/>
    <n v="987.41"/>
    <n v="23"/>
    <n v="22710.43"/>
    <n v="10514.91"/>
    <x v="0"/>
    <x v="2"/>
    <x v="0"/>
  </r>
  <r>
    <d v="2023-11-03T00:00:00"/>
    <x v="10"/>
    <x v="0"/>
    <x v="4"/>
    <x v="0"/>
    <x v="0"/>
    <n v="1234.69"/>
    <n v="1511.26"/>
    <n v="38"/>
    <n v="57427.88"/>
    <n v="10509.659999999998"/>
    <x v="1"/>
    <x v="1"/>
    <x v="0"/>
  </r>
  <r>
    <d v="2023-11-03T00:00:00"/>
    <x v="10"/>
    <x v="0"/>
    <x v="2"/>
    <x v="2"/>
    <x v="0"/>
    <n v="3600.95"/>
    <n v="3702.8399999999901"/>
    <n v="42"/>
    <n v="155519.27999999959"/>
    <n v="4279.3799999995936"/>
    <x v="0"/>
    <x v="0"/>
    <x v="1"/>
  </r>
  <r>
    <d v="2023-11-05T00:00:00"/>
    <x v="10"/>
    <x v="0"/>
    <x v="4"/>
    <x v="3"/>
    <x v="1"/>
    <n v="4173.04"/>
    <n v="4362.4399999999996"/>
    <n v="3"/>
    <n v="13087.32"/>
    <n v="568.19999999999891"/>
    <x v="1"/>
    <x v="1"/>
    <x v="1"/>
  </r>
  <r>
    <d v="2023-11-05T00:00:00"/>
    <x v="10"/>
    <x v="0"/>
    <x v="2"/>
    <x v="2"/>
    <x v="0"/>
    <n v="591.98"/>
    <n v="934.04"/>
    <n v="39"/>
    <n v="36427.56"/>
    <n v="13340.339999999998"/>
    <x v="1"/>
    <x v="1"/>
    <x v="1"/>
  </r>
  <r>
    <d v="2023-11-05T00:00:00"/>
    <x v="10"/>
    <x v="0"/>
    <x v="3"/>
    <x v="3"/>
    <x v="3"/>
    <n v="1675.51"/>
    <n v="1906.6399999999901"/>
    <n v="37"/>
    <n v="70545.679999999629"/>
    <n v="8551.8099999996339"/>
    <x v="1"/>
    <x v="1"/>
    <x v="0"/>
  </r>
  <r>
    <d v="2023-11-05T00:00:00"/>
    <x v="10"/>
    <x v="0"/>
    <x v="4"/>
    <x v="1"/>
    <x v="1"/>
    <n v="2273.91"/>
    <n v="2578.7999999999902"/>
    <n v="10"/>
    <n v="25787.999999999902"/>
    <n v="3048.8999999999032"/>
    <x v="1"/>
    <x v="0"/>
    <x v="0"/>
  </r>
  <r>
    <d v="2023-11-05T00:00:00"/>
    <x v="10"/>
    <x v="0"/>
    <x v="0"/>
    <x v="3"/>
    <x v="2"/>
    <n v="698.74"/>
    <n v="882.28"/>
    <n v="30"/>
    <n v="26468.399999999998"/>
    <n v="5506.1999999999989"/>
    <x v="0"/>
    <x v="2"/>
    <x v="0"/>
  </r>
  <r>
    <d v="2023-11-06T00:00:00"/>
    <x v="10"/>
    <x v="0"/>
    <x v="3"/>
    <x v="1"/>
    <x v="3"/>
    <n v="834.32"/>
    <n v="1098.97"/>
    <n v="22"/>
    <n v="24177.34"/>
    <n v="5822.2999999999993"/>
    <x v="0"/>
    <x v="0"/>
    <x v="0"/>
  </r>
  <r>
    <d v="2023-11-06T00:00:00"/>
    <x v="10"/>
    <x v="0"/>
    <x v="2"/>
    <x v="3"/>
    <x v="3"/>
    <n v="2361.0500000000002"/>
    <n v="2616.19"/>
    <n v="25"/>
    <n v="65404.75"/>
    <n v="6378.4999999999964"/>
    <x v="1"/>
    <x v="1"/>
    <x v="1"/>
  </r>
  <r>
    <d v="2023-11-06T00:00:00"/>
    <x v="10"/>
    <x v="0"/>
    <x v="2"/>
    <x v="0"/>
    <x v="3"/>
    <n v="3942.34"/>
    <n v="4142.09"/>
    <n v="47"/>
    <n v="194678.23"/>
    <n v="9388.25"/>
    <x v="0"/>
    <x v="2"/>
    <x v="1"/>
  </r>
  <r>
    <d v="2023-11-06T00:00:00"/>
    <x v="10"/>
    <x v="0"/>
    <x v="2"/>
    <x v="1"/>
    <x v="3"/>
    <n v="1786.35"/>
    <n v="1935.29"/>
    <n v="8"/>
    <n v="15482.32"/>
    <n v="1191.5200000000004"/>
    <x v="1"/>
    <x v="0"/>
    <x v="0"/>
  </r>
  <r>
    <d v="2023-11-07T00:00:00"/>
    <x v="10"/>
    <x v="0"/>
    <x v="3"/>
    <x v="3"/>
    <x v="0"/>
    <n v="1291.82"/>
    <n v="1308.4399999999901"/>
    <n v="26"/>
    <n v="34019.43999999974"/>
    <n v="432.11999999974296"/>
    <x v="0"/>
    <x v="2"/>
    <x v="0"/>
  </r>
  <r>
    <d v="2023-11-07T00:00:00"/>
    <x v="10"/>
    <x v="0"/>
    <x v="3"/>
    <x v="2"/>
    <x v="1"/>
    <n v="4157.62"/>
    <n v="4314.5599999999904"/>
    <n v="47"/>
    <n v="202784.31999999954"/>
    <n v="7376.1799999995537"/>
    <x v="1"/>
    <x v="1"/>
    <x v="1"/>
  </r>
  <r>
    <d v="2023-11-07T00:00:00"/>
    <x v="10"/>
    <x v="0"/>
    <x v="1"/>
    <x v="2"/>
    <x v="0"/>
    <n v="4266.6400000000003"/>
    <n v="4523.3599999999997"/>
    <n v="32"/>
    <n v="144747.51999999999"/>
    <n v="8215.039999999979"/>
    <x v="1"/>
    <x v="1"/>
    <x v="1"/>
  </r>
  <r>
    <d v="2023-11-07T00:00:00"/>
    <x v="10"/>
    <x v="0"/>
    <x v="4"/>
    <x v="2"/>
    <x v="3"/>
    <n v="2407.8000000000002"/>
    <n v="2502.7600000000002"/>
    <n v="31"/>
    <n v="77585.560000000012"/>
    <n v="2943.7600000000011"/>
    <x v="0"/>
    <x v="0"/>
    <x v="1"/>
  </r>
  <r>
    <d v="2023-11-08T00:00:00"/>
    <x v="10"/>
    <x v="0"/>
    <x v="1"/>
    <x v="3"/>
    <x v="1"/>
    <n v="3271.62"/>
    <n v="3722.38"/>
    <n v="18"/>
    <n v="67002.84"/>
    <n v="8113.6800000000039"/>
    <x v="0"/>
    <x v="1"/>
    <x v="1"/>
  </r>
  <r>
    <d v="2023-11-08T00:00:00"/>
    <x v="10"/>
    <x v="0"/>
    <x v="2"/>
    <x v="1"/>
    <x v="0"/>
    <n v="1780.14"/>
    <n v="2185.42"/>
    <n v="17"/>
    <n v="37152.14"/>
    <n v="6889.7599999999993"/>
    <x v="0"/>
    <x v="2"/>
    <x v="1"/>
  </r>
  <r>
    <d v="2023-11-09T00:00:00"/>
    <x v="10"/>
    <x v="0"/>
    <x v="2"/>
    <x v="0"/>
    <x v="2"/>
    <n v="132.47"/>
    <n v="316.39"/>
    <n v="9"/>
    <n v="2847.5099999999998"/>
    <n v="1655.28"/>
    <x v="1"/>
    <x v="2"/>
    <x v="0"/>
  </r>
  <r>
    <d v="2023-11-09T00:00:00"/>
    <x v="10"/>
    <x v="0"/>
    <x v="1"/>
    <x v="1"/>
    <x v="1"/>
    <n v="88.44"/>
    <n v="338.94"/>
    <n v="24"/>
    <n v="8134.5599999999995"/>
    <n v="6012"/>
    <x v="1"/>
    <x v="0"/>
    <x v="0"/>
  </r>
  <r>
    <d v="2023-11-09T00:00:00"/>
    <x v="10"/>
    <x v="0"/>
    <x v="3"/>
    <x v="3"/>
    <x v="2"/>
    <n v="2934.3"/>
    <n v="3337.4"/>
    <n v="25"/>
    <n v="83435"/>
    <n v="10077.499999999998"/>
    <x v="0"/>
    <x v="2"/>
    <x v="1"/>
  </r>
  <r>
    <d v="2023-11-09T00:00:00"/>
    <x v="10"/>
    <x v="0"/>
    <x v="2"/>
    <x v="3"/>
    <x v="0"/>
    <n v="1621.07"/>
    <n v="1687.5"/>
    <n v="6"/>
    <n v="10125"/>
    <n v="398.58000000000038"/>
    <x v="0"/>
    <x v="2"/>
    <x v="0"/>
  </r>
  <r>
    <d v="2023-11-09T00:00:00"/>
    <x v="10"/>
    <x v="0"/>
    <x v="2"/>
    <x v="3"/>
    <x v="3"/>
    <n v="1281.6500000000001"/>
    <n v="1709.71"/>
    <n v="1"/>
    <n v="1709.71"/>
    <n v="428.05999999999995"/>
    <x v="0"/>
    <x v="2"/>
    <x v="0"/>
  </r>
  <r>
    <d v="2023-11-10T00:00:00"/>
    <x v="10"/>
    <x v="0"/>
    <x v="3"/>
    <x v="3"/>
    <x v="1"/>
    <n v="1362.31"/>
    <n v="1486.29"/>
    <n v="33"/>
    <n v="49047.57"/>
    <n v="4091.3400000000006"/>
    <x v="0"/>
    <x v="2"/>
    <x v="1"/>
  </r>
  <r>
    <d v="2023-11-10T00:00:00"/>
    <x v="10"/>
    <x v="0"/>
    <x v="4"/>
    <x v="0"/>
    <x v="0"/>
    <n v="2183.37"/>
    <n v="2263.3599999999901"/>
    <n v="16"/>
    <n v="36213.759999999842"/>
    <n v="1279.8399999998437"/>
    <x v="0"/>
    <x v="1"/>
    <x v="1"/>
  </r>
  <r>
    <d v="2023-11-11T00:00:00"/>
    <x v="10"/>
    <x v="0"/>
    <x v="0"/>
    <x v="2"/>
    <x v="3"/>
    <n v="622.01"/>
    <n v="641.09"/>
    <n v="21"/>
    <n v="13462.890000000001"/>
    <n v="400.68000000000086"/>
    <x v="0"/>
    <x v="1"/>
    <x v="1"/>
  </r>
  <r>
    <d v="2023-11-11T00:00:00"/>
    <x v="10"/>
    <x v="0"/>
    <x v="4"/>
    <x v="3"/>
    <x v="2"/>
    <n v="3414.54"/>
    <n v="3753.83"/>
    <n v="32"/>
    <n v="120122.56"/>
    <n v="10857.279999999999"/>
    <x v="1"/>
    <x v="0"/>
    <x v="1"/>
  </r>
  <r>
    <d v="2023-11-12T00:00:00"/>
    <x v="10"/>
    <x v="0"/>
    <x v="4"/>
    <x v="0"/>
    <x v="2"/>
    <n v="3657.91"/>
    <n v="3729.27"/>
    <n v="8"/>
    <n v="29834.16"/>
    <n v="570.88000000000102"/>
    <x v="1"/>
    <x v="1"/>
    <x v="1"/>
  </r>
  <r>
    <d v="2023-11-12T00:00:00"/>
    <x v="10"/>
    <x v="0"/>
    <x v="0"/>
    <x v="3"/>
    <x v="0"/>
    <n v="3592.32"/>
    <n v="3813.48"/>
    <n v="28"/>
    <n v="106777.44"/>
    <n v="6192.4799999999959"/>
    <x v="1"/>
    <x v="2"/>
    <x v="1"/>
  </r>
  <r>
    <d v="2023-11-12T00:00:00"/>
    <x v="10"/>
    <x v="0"/>
    <x v="0"/>
    <x v="1"/>
    <x v="2"/>
    <n v="1468.05"/>
    <n v="1838.21"/>
    <n v="9"/>
    <n v="16543.89"/>
    <n v="3331.4400000000005"/>
    <x v="1"/>
    <x v="1"/>
    <x v="1"/>
  </r>
  <r>
    <d v="2023-11-12T00:00:00"/>
    <x v="10"/>
    <x v="0"/>
    <x v="3"/>
    <x v="1"/>
    <x v="2"/>
    <n v="310.24"/>
    <n v="451.81"/>
    <n v="9"/>
    <n v="4066.29"/>
    <n v="1274.1299999999999"/>
    <x v="0"/>
    <x v="0"/>
    <x v="1"/>
  </r>
  <r>
    <d v="2023-11-13T00:00:00"/>
    <x v="10"/>
    <x v="0"/>
    <x v="4"/>
    <x v="0"/>
    <x v="3"/>
    <n v="1711.63"/>
    <n v="1951.24"/>
    <n v="28"/>
    <n v="54634.720000000001"/>
    <n v="6709.0799999999972"/>
    <x v="1"/>
    <x v="0"/>
    <x v="0"/>
  </r>
  <r>
    <d v="2023-11-14T00:00:00"/>
    <x v="10"/>
    <x v="0"/>
    <x v="2"/>
    <x v="0"/>
    <x v="1"/>
    <n v="666.84"/>
    <n v="682.24"/>
    <n v="36"/>
    <n v="24560.639999999999"/>
    <n v="554.39999999999918"/>
    <x v="1"/>
    <x v="1"/>
    <x v="1"/>
  </r>
  <r>
    <d v="2023-11-14T00:00:00"/>
    <x v="10"/>
    <x v="0"/>
    <x v="0"/>
    <x v="0"/>
    <x v="0"/>
    <n v="3609.42"/>
    <n v="4082.62"/>
    <n v="6"/>
    <n v="24495.72"/>
    <n v="2839.1999999999989"/>
    <x v="0"/>
    <x v="1"/>
    <x v="1"/>
  </r>
  <r>
    <d v="2023-11-14T00:00:00"/>
    <x v="10"/>
    <x v="0"/>
    <x v="2"/>
    <x v="0"/>
    <x v="2"/>
    <n v="1185.5"/>
    <n v="1271.45"/>
    <n v="14"/>
    <n v="17800.3"/>
    <n v="1203.3000000000006"/>
    <x v="0"/>
    <x v="1"/>
    <x v="1"/>
  </r>
  <r>
    <d v="2023-11-14T00:00:00"/>
    <x v="10"/>
    <x v="0"/>
    <x v="2"/>
    <x v="1"/>
    <x v="1"/>
    <n v="2981.5"/>
    <n v="3360.4"/>
    <n v="23"/>
    <n v="77289.2"/>
    <n v="8714.7000000000025"/>
    <x v="0"/>
    <x v="1"/>
    <x v="1"/>
  </r>
  <r>
    <d v="2023-11-14T00:00:00"/>
    <x v="10"/>
    <x v="0"/>
    <x v="1"/>
    <x v="2"/>
    <x v="0"/>
    <n v="1218.18"/>
    <n v="1566.36"/>
    <n v="42"/>
    <n v="65787.12"/>
    <n v="14623.559999999994"/>
    <x v="0"/>
    <x v="2"/>
    <x v="1"/>
  </r>
  <r>
    <d v="2023-11-14T00:00:00"/>
    <x v="10"/>
    <x v="0"/>
    <x v="1"/>
    <x v="1"/>
    <x v="1"/>
    <n v="1074.93"/>
    <n v="1492.48"/>
    <n v="32"/>
    <n v="47759.360000000001"/>
    <n v="13361.599999999999"/>
    <x v="0"/>
    <x v="2"/>
    <x v="1"/>
  </r>
  <r>
    <d v="2023-11-14T00:00:00"/>
    <x v="10"/>
    <x v="0"/>
    <x v="3"/>
    <x v="3"/>
    <x v="0"/>
    <n v="60.28"/>
    <n v="260.73"/>
    <n v="1"/>
    <n v="260.73"/>
    <n v="200.45000000000002"/>
    <x v="0"/>
    <x v="0"/>
    <x v="0"/>
  </r>
  <r>
    <d v="2023-11-14T00:00:00"/>
    <x v="10"/>
    <x v="0"/>
    <x v="0"/>
    <x v="3"/>
    <x v="0"/>
    <n v="3936.69"/>
    <n v="4362.51"/>
    <n v="28"/>
    <n v="122150.28"/>
    <n v="11922.960000000005"/>
    <x v="0"/>
    <x v="2"/>
    <x v="1"/>
  </r>
  <r>
    <d v="2023-11-15T00:00:00"/>
    <x v="10"/>
    <x v="0"/>
    <x v="0"/>
    <x v="3"/>
    <x v="0"/>
    <n v="1370.52"/>
    <n v="1482.58"/>
    <n v="24"/>
    <n v="35581.919999999998"/>
    <n v="2689.4399999999987"/>
    <x v="0"/>
    <x v="2"/>
    <x v="1"/>
  </r>
  <r>
    <d v="2023-11-15T00:00:00"/>
    <x v="10"/>
    <x v="0"/>
    <x v="4"/>
    <x v="2"/>
    <x v="3"/>
    <n v="651"/>
    <n v="865.76"/>
    <n v="1"/>
    <n v="865.76"/>
    <n v="214.76"/>
    <x v="0"/>
    <x v="1"/>
    <x v="1"/>
  </r>
  <r>
    <d v="2023-11-15T00:00:00"/>
    <x v="10"/>
    <x v="0"/>
    <x v="3"/>
    <x v="2"/>
    <x v="1"/>
    <n v="2844.97"/>
    <n v="3215"/>
    <n v="19"/>
    <n v="61085"/>
    <n v="7030.5700000000033"/>
    <x v="0"/>
    <x v="2"/>
    <x v="1"/>
  </r>
  <r>
    <d v="2023-11-15T00:00:00"/>
    <x v="10"/>
    <x v="0"/>
    <x v="4"/>
    <x v="0"/>
    <x v="2"/>
    <n v="1676.42"/>
    <n v="2082.52"/>
    <n v="23"/>
    <n v="47897.96"/>
    <n v="9340.2999999999975"/>
    <x v="1"/>
    <x v="1"/>
    <x v="1"/>
  </r>
  <r>
    <d v="2023-11-15T00:00:00"/>
    <x v="10"/>
    <x v="0"/>
    <x v="2"/>
    <x v="3"/>
    <x v="2"/>
    <n v="3034.32"/>
    <n v="3375.79"/>
    <n v="47"/>
    <n v="158662.13"/>
    <n v="16049.089999999991"/>
    <x v="1"/>
    <x v="2"/>
    <x v="0"/>
  </r>
  <r>
    <d v="2023-11-15T00:00:00"/>
    <x v="10"/>
    <x v="0"/>
    <x v="0"/>
    <x v="3"/>
    <x v="1"/>
    <n v="1036.76"/>
    <n v="1189.3499999999999"/>
    <n v="2"/>
    <n v="2378.6999999999998"/>
    <n v="305.17999999999984"/>
    <x v="1"/>
    <x v="1"/>
    <x v="0"/>
  </r>
  <r>
    <d v="2023-11-16T00:00:00"/>
    <x v="10"/>
    <x v="0"/>
    <x v="0"/>
    <x v="3"/>
    <x v="1"/>
    <n v="2928.74"/>
    <n v="3027.74"/>
    <n v="1"/>
    <n v="3027.74"/>
    <n v="99"/>
    <x v="1"/>
    <x v="1"/>
    <x v="1"/>
  </r>
  <r>
    <d v="2023-11-16T00:00:00"/>
    <x v="10"/>
    <x v="0"/>
    <x v="2"/>
    <x v="1"/>
    <x v="3"/>
    <n v="601.86"/>
    <n v="1067.53"/>
    <n v="40"/>
    <n v="42701.2"/>
    <n v="18626.8"/>
    <x v="1"/>
    <x v="0"/>
    <x v="0"/>
  </r>
  <r>
    <d v="2023-11-16T00:00:00"/>
    <x v="10"/>
    <x v="0"/>
    <x v="3"/>
    <x v="2"/>
    <x v="1"/>
    <n v="144.88"/>
    <n v="175.29"/>
    <n v="31"/>
    <n v="5433.99"/>
    <n v="942.70999999999992"/>
    <x v="1"/>
    <x v="1"/>
    <x v="0"/>
  </r>
  <r>
    <d v="2023-11-16T00:00:00"/>
    <x v="10"/>
    <x v="0"/>
    <x v="2"/>
    <x v="1"/>
    <x v="0"/>
    <n v="2658.9"/>
    <n v="2838.27"/>
    <n v="48"/>
    <n v="136236.96"/>
    <n v="8609.7599999999948"/>
    <x v="1"/>
    <x v="2"/>
    <x v="0"/>
  </r>
  <r>
    <d v="2023-11-16T00:00:00"/>
    <x v="10"/>
    <x v="0"/>
    <x v="2"/>
    <x v="3"/>
    <x v="1"/>
    <n v="3459.61"/>
    <n v="3657.23"/>
    <n v="8"/>
    <n v="29257.84"/>
    <n v="1580.9599999999991"/>
    <x v="0"/>
    <x v="1"/>
    <x v="0"/>
  </r>
  <r>
    <d v="2023-11-16T00:00:00"/>
    <x v="10"/>
    <x v="0"/>
    <x v="0"/>
    <x v="0"/>
    <x v="1"/>
    <n v="2440.11"/>
    <n v="2517.6"/>
    <n v="13"/>
    <n v="32728.799999999999"/>
    <n v="1007.3699999999972"/>
    <x v="1"/>
    <x v="1"/>
    <x v="1"/>
  </r>
  <r>
    <d v="2023-11-17T00:00:00"/>
    <x v="10"/>
    <x v="0"/>
    <x v="1"/>
    <x v="0"/>
    <x v="0"/>
    <n v="2094.88"/>
    <n v="2168.91"/>
    <n v="28"/>
    <n v="60729.479999999996"/>
    <n v="2072.8399999999929"/>
    <x v="0"/>
    <x v="0"/>
    <x v="1"/>
  </r>
  <r>
    <d v="2023-11-17T00:00:00"/>
    <x v="10"/>
    <x v="0"/>
    <x v="3"/>
    <x v="3"/>
    <x v="3"/>
    <n v="366.2"/>
    <n v="732.69"/>
    <n v="13"/>
    <n v="9524.9700000000012"/>
    <n v="4764.3700000000008"/>
    <x v="1"/>
    <x v="0"/>
    <x v="1"/>
  </r>
  <r>
    <d v="2023-11-18T00:00:00"/>
    <x v="10"/>
    <x v="0"/>
    <x v="4"/>
    <x v="3"/>
    <x v="3"/>
    <n v="182.99"/>
    <n v="211.18"/>
    <n v="1"/>
    <n v="211.18"/>
    <n v="28.189999999999998"/>
    <x v="0"/>
    <x v="1"/>
    <x v="1"/>
  </r>
  <r>
    <d v="2023-11-18T00:00:00"/>
    <x v="10"/>
    <x v="0"/>
    <x v="4"/>
    <x v="3"/>
    <x v="1"/>
    <n v="1088.99"/>
    <n v="1545"/>
    <n v="12"/>
    <n v="18540"/>
    <n v="5472.12"/>
    <x v="0"/>
    <x v="1"/>
    <x v="1"/>
  </r>
  <r>
    <d v="2023-11-19T00:00:00"/>
    <x v="10"/>
    <x v="0"/>
    <x v="2"/>
    <x v="0"/>
    <x v="2"/>
    <n v="2600.7600000000002"/>
    <n v="2937.57"/>
    <n v="37"/>
    <n v="108690.09000000001"/>
    <n v="12461.969999999998"/>
    <x v="1"/>
    <x v="2"/>
    <x v="1"/>
  </r>
  <r>
    <d v="2023-11-19T00:00:00"/>
    <x v="10"/>
    <x v="0"/>
    <x v="2"/>
    <x v="0"/>
    <x v="2"/>
    <n v="2189.54"/>
    <n v="2617"/>
    <n v="47"/>
    <n v="122999"/>
    <n v="20090.620000000003"/>
    <x v="1"/>
    <x v="1"/>
    <x v="0"/>
  </r>
  <r>
    <d v="2023-11-19T00:00:00"/>
    <x v="10"/>
    <x v="0"/>
    <x v="3"/>
    <x v="0"/>
    <x v="2"/>
    <n v="912.08"/>
    <n v="993.24"/>
    <n v="2"/>
    <n v="1986.48"/>
    <n v="162.31999999999994"/>
    <x v="0"/>
    <x v="2"/>
    <x v="0"/>
  </r>
  <r>
    <d v="2023-11-20T00:00:00"/>
    <x v="10"/>
    <x v="0"/>
    <x v="3"/>
    <x v="0"/>
    <x v="3"/>
    <n v="4190.83"/>
    <n v="4528.7699999999904"/>
    <n v="1"/>
    <n v="4528.7699999999904"/>
    <n v="337.9399999999905"/>
    <x v="0"/>
    <x v="1"/>
    <x v="0"/>
  </r>
  <r>
    <d v="2023-11-20T00:00:00"/>
    <x v="10"/>
    <x v="0"/>
    <x v="4"/>
    <x v="3"/>
    <x v="3"/>
    <n v="734.92"/>
    <n v="991.21"/>
    <n v="5"/>
    <n v="4956.05"/>
    <n v="1281.4500000000003"/>
    <x v="0"/>
    <x v="2"/>
    <x v="0"/>
  </r>
  <r>
    <d v="2023-11-20T00:00:00"/>
    <x v="10"/>
    <x v="0"/>
    <x v="4"/>
    <x v="3"/>
    <x v="0"/>
    <n v="700.49"/>
    <n v="1126.52"/>
    <n v="32"/>
    <n v="36048.639999999999"/>
    <n v="13632.96"/>
    <x v="1"/>
    <x v="2"/>
    <x v="1"/>
  </r>
  <r>
    <d v="2023-11-20T00:00:00"/>
    <x v="10"/>
    <x v="0"/>
    <x v="3"/>
    <x v="1"/>
    <x v="1"/>
    <n v="3420.72"/>
    <n v="3513.74"/>
    <n v="15"/>
    <n v="52706.1"/>
    <n v="1395.2999999999997"/>
    <x v="1"/>
    <x v="0"/>
    <x v="0"/>
  </r>
  <r>
    <d v="2023-11-20T00:00:00"/>
    <x v="10"/>
    <x v="0"/>
    <x v="4"/>
    <x v="2"/>
    <x v="2"/>
    <n v="2678.99"/>
    <n v="3152.2799999999902"/>
    <n v="32"/>
    <n v="100872.95999999969"/>
    <n v="15145.279999999693"/>
    <x v="0"/>
    <x v="0"/>
    <x v="1"/>
  </r>
  <r>
    <d v="2023-11-22T00:00:00"/>
    <x v="10"/>
    <x v="0"/>
    <x v="2"/>
    <x v="2"/>
    <x v="3"/>
    <n v="3184.65"/>
    <n v="3204.01"/>
    <n v="17"/>
    <n v="54468.170000000006"/>
    <n v="329.12000000000216"/>
    <x v="1"/>
    <x v="1"/>
    <x v="0"/>
  </r>
  <r>
    <d v="2023-11-22T00:00:00"/>
    <x v="10"/>
    <x v="0"/>
    <x v="4"/>
    <x v="2"/>
    <x v="0"/>
    <n v="894.48"/>
    <n v="1336.37"/>
    <n v="15"/>
    <n v="20045.55"/>
    <n v="6628.3499999999985"/>
    <x v="0"/>
    <x v="0"/>
    <x v="1"/>
  </r>
  <r>
    <d v="2023-11-22T00:00:00"/>
    <x v="10"/>
    <x v="0"/>
    <x v="1"/>
    <x v="0"/>
    <x v="1"/>
    <n v="3285.25"/>
    <n v="3634.58"/>
    <n v="22"/>
    <n v="79960.759999999995"/>
    <n v="7685.2599999999984"/>
    <x v="1"/>
    <x v="1"/>
    <x v="0"/>
  </r>
  <r>
    <d v="2023-11-23T00:00:00"/>
    <x v="10"/>
    <x v="0"/>
    <x v="0"/>
    <x v="3"/>
    <x v="0"/>
    <n v="4906.8500000000004"/>
    <n v="4954.3900000000003"/>
    <n v="26"/>
    <n v="128814.14000000001"/>
    <n v="1236.0399999999991"/>
    <x v="1"/>
    <x v="1"/>
    <x v="0"/>
  </r>
  <r>
    <d v="2023-11-24T00:00:00"/>
    <x v="10"/>
    <x v="0"/>
    <x v="0"/>
    <x v="3"/>
    <x v="3"/>
    <n v="3706.78"/>
    <n v="3862.26"/>
    <n v="11"/>
    <n v="42484.86"/>
    <n v="1710.2800000000002"/>
    <x v="1"/>
    <x v="2"/>
    <x v="1"/>
  </r>
  <r>
    <d v="2023-11-24T00:00:00"/>
    <x v="10"/>
    <x v="0"/>
    <x v="0"/>
    <x v="0"/>
    <x v="3"/>
    <n v="3771.27"/>
    <n v="4212.55"/>
    <n v="15"/>
    <n v="63188.25"/>
    <n v="6619.2000000000025"/>
    <x v="0"/>
    <x v="2"/>
    <x v="1"/>
  </r>
  <r>
    <d v="2023-11-24T00:00:00"/>
    <x v="10"/>
    <x v="0"/>
    <x v="0"/>
    <x v="2"/>
    <x v="1"/>
    <n v="479.58"/>
    <n v="909.88"/>
    <n v="29"/>
    <n v="26386.52"/>
    <n v="12478.7"/>
    <x v="0"/>
    <x v="2"/>
    <x v="1"/>
  </r>
  <r>
    <d v="2023-11-24T00:00:00"/>
    <x v="10"/>
    <x v="0"/>
    <x v="4"/>
    <x v="1"/>
    <x v="3"/>
    <n v="4691.32"/>
    <n v="4752.88"/>
    <n v="22"/>
    <n v="104563.36"/>
    <n v="1354.3200000000088"/>
    <x v="0"/>
    <x v="1"/>
    <x v="1"/>
  </r>
  <r>
    <d v="2023-11-24T00:00:00"/>
    <x v="10"/>
    <x v="0"/>
    <x v="3"/>
    <x v="3"/>
    <x v="3"/>
    <n v="1239.0899999999999"/>
    <n v="1273.98"/>
    <n v="18"/>
    <n v="22931.64"/>
    <n v="628.0200000000018"/>
    <x v="1"/>
    <x v="1"/>
    <x v="1"/>
  </r>
  <r>
    <d v="2023-11-24T00:00:00"/>
    <x v="10"/>
    <x v="0"/>
    <x v="4"/>
    <x v="2"/>
    <x v="3"/>
    <n v="4317.95"/>
    <n v="4636.59"/>
    <n v="12"/>
    <n v="55639.08"/>
    <n v="3823.6800000000039"/>
    <x v="1"/>
    <x v="2"/>
    <x v="1"/>
  </r>
  <r>
    <d v="2023-11-24T00:00:00"/>
    <x v="10"/>
    <x v="0"/>
    <x v="4"/>
    <x v="3"/>
    <x v="0"/>
    <n v="481.19"/>
    <n v="693.4"/>
    <n v="25"/>
    <n v="17335"/>
    <n v="5305.2499999999991"/>
    <x v="1"/>
    <x v="2"/>
    <x v="1"/>
  </r>
  <r>
    <d v="2023-11-25T00:00:00"/>
    <x v="10"/>
    <x v="0"/>
    <x v="0"/>
    <x v="0"/>
    <x v="1"/>
    <n v="2120.81"/>
    <n v="2611.94"/>
    <n v="42"/>
    <n v="109701.48"/>
    <n v="20627.460000000006"/>
    <x v="0"/>
    <x v="0"/>
    <x v="0"/>
  </r>
  <r>
    <d v="2023-11-25T00:00:00"/>
    <x v="10"/>
    <x v="0"/>
    <x v="4"/>
    <x v="3"/>
    <x v="2"/>
    <n v="407.77"/>
    <n v="860.95"/>
    <n v="37"/>
    <n v="31855.15"/>
    <n v="16767.660000000003"/>
    <x v="1"/>
    <x v="2"/>
    <x v="1"/>
  </r>
  <r>
    <d v="2023-11-26T00:00:00"/>
    <x v="10"/>
    <x v="0"/>
    <x v="4"/>
    <x v="2"/>
    <x v="2"/>
    <n v="2041.75"/>
    <n v="2299.37"/>
    <n v="39"/>
    <n v="89675.43"/>
    <n v="10047.179999999997"/>
    <x v="0"/>
    <x v="1"/>
    <x v="1"/>
  </r>
  <r>
    <d v="2023-11-26T00:00:00"/>
    <x v="10"/>
    <x v="0"/>
    <x v="3"/>
    <x v="1"/>
    <x v="2"/>
    <n v="2009.1"/>
    <n v="2186.42"/>
    <n v="3"/>
    <n v="6559.26"/>
    <n v="531.96000000000049"/>
    <x v="1"/>
    <x v="1"/>
    <x v="0"/>
  </r>
  <r>
    <d v="2023-11-26T00:00:00"/>
    <x v="10"/>
    <x v="0"/>
    <x v="0"/>
    <x v="1"/>
    <x v="3"/>
    <n v="3970.37"/>
    <n v="4257.5199999999904"/>
    <n v="8"/>
    <n v="34060.159999999923"/>
    <n v="2297.1999999999243"/>
    <x v="1"/>
    <x v="0"/>
    <x v="1"/>
  </r>
  <r>
    <d v="2023-11-26T00:00:00"/>
    <x v="10"/>
    <x v="0"/>
    <x v="2"/>
    <x v="0"/>
    <x v="1"/>
    <n v="3089.96"/>
    <n v="3258.45"/>
    <n v="40"/>
    <n v="130338"/>
    <n v="6739.5999999999913"/>
    <x v="1"/>
    <x v="0"/>
    <x v="0"/>
  </r>
  <r>
    <d v="2023-11-26T00:00:00"/>
    <x v="10"/>
    <x v="0"/>
    <x v="1"/>
    <x v="2"/>
    <x v="3"/>
    <n v="4257.24"/>
    <n v="4355.87"/>
    <n v="7"/>
    <n v="30491.09"/>
    <n v="690.41000000000076"/>
    <x v="0"/>
    <x v="1"/>
    <x v="0"/>
  </r>
  <r>
    <d v="2023-11-27T00:00:00"/>
    <x v="10"/>
    <x v="0"/>
    <x v="4"/>
    <x v="1"/>
    <x v="1"/>
    <n v="2254.9899999999998"/>
    <n v="2441.79"/>
    <n v="31"/>
    <n v="75695.490000000005"/>
    <n v="5790.8000000000056"/>
    <x v="0"/>
    <x v="1"/>
    <x v="0"/>
  </r>
  <r>
    <d v="2023-11-28T00:00:00"/>
    <x v="10"/>
    <x v="0"/>
    <x v="2"/>
    <x v="2"/>
    <x v="1"/>
    <n v="1200.4000000000001"/>
    <n v="1430.45"/>
    <n v="43"/>
    <n v="61509.35"/>
    <n v="9892.1499999999978"/>
    <x v="1"/>
    <x v="1"/>
    <x v="1"/>
  </r>
  <r>
    <d v="2023-11-28T00:00:00"/>
    <x v="10"/>
    <x v="0"/>
    <x v="1"/>
    <x v="2"/>
    <x v="2"/>
    <n v="3703.93"/>
    <n v="3840.24"/>
    <n v="6"/>
    <n v="23041.439999999999"/>
    <n v="817.85999999999967"/>
    <x v="1"/>
    <x v="2"/>
    <x v="0"/>
  </r>
  <r>
    <d v="2023-11-28T00:00:00"/>
    <x v="10"/>
    <x v="0"/>
    <x v="2"/>
    <x v="2"/>
    <x v="1"/>
    <n v="4349.34"/>
    <n v="4629.9799999999996"/>
    <n v="8"/>
    <n v="37039.839999999997"/>
    <n v="2245.1199999999953"/>
    <x v="0"/>
    <x v="2"/>
    <x v="0"/>
  </r>
  <r>
    <d v="2023-11-29T00:00:00"/>
    <x v="10"/>
    <x v="0"/>
    <x v="2"/>
    <x v="0"/>
    <x v="1"/>
    <n v="3305.94"/>
    <n v="3599.27"/>
    <n v="24"/>
    <n v="86382.48"/>
    <n v="7039.9199999999983"/>
    <x v="1"/>
    <x v="2"/>
    <x v="1"/>
  </r>
  <r>
    <d v="2023-11-29T00:00:00"/>
    <x v="10"/>
    <x v="0"/>
    <x v="3"/>
    <x v="2"/>
    <x v="3"/>
    <n v="737.9"/>
    <n v="1182"/>
    <n v="7"/>
    <n v="8274"/>
    <n v="3108.7000000000003"/>
    <x v="1"/>
    <x v="2"/>
    <x v="1"/>
  </r>
  <r>
    <d v="2023-11-30T00:00:00"/>
    <x v="10"/>
    <x v="0"/>
    <x v="4"/>
    <x v="1"/>
    <x v="2"/>
    <n v="1196.42"/>
    <n v="1444.97"/>
    <n v="41"/>
    <n v="59243.770000000004"/>
    <n v="10190.549999999997"/>
    <x v="0"/>
    <x v="1"/>
    <x v="0"/>
  </r>
  <r>
    <d v="2023-12-01T00:00:00"/>
    <x v="11"/>
    <x v="0"/>
    <x v="1"/>
    <x v="2"/>
    <x v="1"/>
    <n v="3513"/>
    <n v="3838.42"/>
    <n v="8"/>
    <n v="30707.360000000001"/>
    <n v="2603.3600000000006"/>
    <x v="0"/>
    <x v="1"/>
    <x v="0"/>
  </r>
  <r>
    <d v="2023-12-01T00:00:00"/>
    <x v="11"/>
    <x v="0"/>
    <x v="2"/>
    <x v="2"/>
    <x v="1"/>
    <n v="2565.3000000000002"/>
    <n v="3007.47"/>
    <n v="40"/>
    <n v="120298.79999999999"/>
    <n v="17686.799999999985"/>
    <x v="0"/>
    <x v="2"/>
    <x v="1"/>
  </r>
  <r>
    <d v="2023-12-01T00:00:00"/>
    <x v="11"/>
    <x v="0"/>
    <x v="3"/>
    <x v="3"/>
    <x v="1"/>
    <n v="1994.9"/>
    <n v="2066.5"/>
    <n v="20"/>
    <n v="41330"/>
    <n v="1431.9999999999982"/>
    <x v="0"/>
    <x v="1"/>
    <x v="0"/>
  </r>
  <r>
    <d v="2023-12-01T00:00:00"/>
    <x v="11"/>
    <x v="0"/>
    <x v="4"/>
    <x v="3"/>
    <x v="1"/>
    <n v="4991.09"/>
    <n v="5402.28"/>
    <n v="34"/>
    <n v="183677.52"/>
    <n v="13980.459999999986"/>
    <x v="0"/>
    <x v="0"/>
    <x v="1"/>
  </r>
  <r>
    <d v="2023-12-02T00:00:00"/>
    <x v="11"/>
    <x v="0"/>
    <x v="2"/>
    <x v="3"/>
    <x v="2"/>
    <n v="2258.54"/>
    <n v="2439.4899999999998"/>
    <n v="24"/>
    <n v="58547.759999999995"/>
    <n v="4342.7999999999956"/>
    <x v="0"/>
    <x v="2"/>
    <x v="1"/>
  </r>
  <r>
    <d v="2023-12-03T00:00:00"/>
    <x v="11"/>
    <x v="0"/>
    <x v="3"/>
    <x v="3"/>
    <x v="2"/>
    <n v="1442.69"/>
    <n v="1882.57"/>
    <n v="13"/>
    <n v="24473.41"/>
    <n v="5718.4399999999987"/>
    <x v="0"/>
    <x v="0"/>
    <x v="0"/>
  </r>
  <r>
    <d v="2023-12-03T00:00:00"/>
    <x v="11"/>
    <x v="0"/>
    <x v="2"/>
    <x v="0"/>
    <x v="2"/>
    <n v="2885.16"/>
    <n v="3224.8399999999901"/>
    <n v="35"/>
    <n v="112869.39999999966"/>
    <n v="11888.799999999661"/>
    <x v="1"/>
    <x v="0"/>
    <x v="0"/>
  </r>
  <r>
    <d v="2023-12-03T00:00:00"/>
    <x v="11"/>
    <x v="0"/>
    <x v="2"/>
    <x v="3"/>
    <x v="0"/>
    <n v="422.74"/>
    <n v="737.49"/>
    <n v="6"/>
    <n v="4424.9400000000005"/>
    <n v="1888.5"/>
    <x v="0"/>
    <x v="2"/>
    <x v="1"/>
  </r>
  <r>
    <d v="2023-12-04T00:00:00"/>
    <x v="11"/>
    <x v="0"/>
    <x v="3"/>
    <x v="2"/>
    <x v="1"/>
    <n v="493.35"/>
    <n v="799.27"/>
    <n v="49"/>
    <n v="39164.229999999996"/>
    <n v="14990.079999999998"/>
    <x v="1"/>
    <x v="1"/>
    <x v="0"/>
  </r>
  <r>
    <d v="2023-12-04T00:00:00"/>
    <x v="11"/>
    <x v="0"/>
    <x v="2"/>
    <x v="1"/>
    <x v="0"/>
    <n v="2188.35"/>
    <n v="2605.3599999999901"/>
    <n v="14"/>
    <n v="36475.039999999863"/>
    <n v="5838.139999999863"/>
    <x v="0"/>
    <x v="2"/>
    <x v="1"/>
  </r>
  <r>
    <d v="2023-12-05T00:00:00"/>
    <x v="11"/>
    <x v="0"/>
    <x v="1"/>
    <x v="3"/>
    <x v="2"/>
    <n v="68.989999999999995"/>
    <n v="429.29"/>
    <n v="27"/>
    <n v="11590.83"/>
    <n v="9728.1"/>
    <x v="0"/>
    <x v="2"/>
    <x v="1"/>
  </r>
  <r>
    <d v="2023-12-05T00:00:00"/>
    <x v="11"/>
    <x v="0"/>
    <x v="0"/>
    <x v="3"/>
    <x v="1"/>
    <n v="333.32"/>
    <n v="700.25"/>
    <n v="12"/>
    <n v="8403"/>
    <n v="4403.16"/>
    <x v="0"/>
    <x v="0"/>
    <x v="0"/>
  </r>
  <r>
    <d v="2023-12-06T00:00:00"/>
    <x v="11"/>
    <x v="0"/>
    <x v="4"/>
    <x v="0"/>
    <x v="3"/>
    <n v="4368.97"/>
    <n v="4696.8500000000004"/>
    <n v="31"/>
    <n v="145602.35"/>
    <n v="10164.280000000002"/>
    <x v="0"/>
    <x v="1"/>
    <x v="1"/>
  </r>
  <r>
    <d v="2023-12-06T00:00:00"/>
    <x v="11"/>
    <x v="0"/>
    <x v="0"/>
    <x v="0"/>
    <x v="2"/>
    <n v="3117.75"/>
    <n v="3159.88"/>
    <n v="42"/>
    <n v="132714.96"/>
    <n v="1769.4600000000046"/>
    <x v="1"/>
    <x v="0"/>
    <x v="1"/>
  </r>
  <r>
    <d v="2023-12-07T00:00:00"/>
    <x v="11"/>
    <x v="0"/>
    <x v="3"/>
    <x v="3"/>
    <x v="1"/>
    <n v="2471.67"/>
    <n v="2533.04"/>
    <n v="22"/>
    <n v="55726.879999999997"/>
    <n v="1350.1399999999976"/>
    <x v="0"/>
    <x v="1"/>
    <x v="1"/>
  </r>
  <r>
    <d v="2023-12-08T00:00:00"/>
    <x v="11"/>
    <x v="0"/>
    <x v="4"/>
    <x v="1"/>
    <x v="2"/>
    <n v="2907.22"/>
    <n v="3385.6099999999901"/>
    <n v="49"/>
    <n v="165894.88999999952"/>
    <n v="23441.109999999528"/>
    <x v="1"/>
    <x v="0"/>
    <x v="0"/>
  </r>
  <r>
    <d v="2023-12-08T00:00:00"/>
    <x v="11"/>
    <x v="0"/>
    <x v="2"/>
    <x v="0"/>
    <x v="3"/>
    <n v="4236.05"/>
    <n v="4382.32"/>
    <n v="22"/>
    <n v="96411.04"/>
    <n v="3217.9399999999896"/>
    <x v="1"/>
    <x v="1"/>
    <x v="0"/>
  </r>
  <r>
    <d v="2023-12-08T00:00:00"/>
    <x v="11"/>
    <x v="0"/>
    <x v="0"/>
    <x v="3"/>
    <x v="0"/>
    <n v="3191.05"/>
    <n v="3555.35"/>
    <n v="4"/>
    <n v="14221.4"/>
    <n v="1457.1999999999989"/>
    <x v="1"/>
    <x v="2"/>
    <x v="0"/>
  </r>
  <r>
    <d v="2023-12-10T00:00:00"/>
    <x v="11"/>
    <x v="0"/>
    <x v="3"/>
    <x v="0"/>
    <x v="2"/>
    <n v="4268.45"/>
    <n v="4551.5999999999904"/>
    <n v="45"/>
    <n v="204821.99999999956"/>
    <n v="12741.749999999574"/>
    <x v="1"/>
    <x v="1"/>
    <x v="0"/>
  </r>
  <r>
    <d v="2023-12-10T00:00:00"/>
    <x v="11"/>
    <x v="0"/>
    <x v="2"/>
    <x v="0"/>
    <x v="3"/>
    <n v="2882.25"/>
    <n v="3163.7"/>
    <n v="7"/>
    <n v="22145.899999999998"/>
    <n v="1970.1499999999987"/>
    <x v="0"/>
    <x v="0"/>
    <x v="1"/>
  </r>
  <r>
    <d v="2023-12-10T00:00:00"/>
    <x v="11"/>
    <x v="0"/>
    <x v="3"/>
    <x v="0"/>
    <x v="2"/>
    <n v="2594.08"/>
    <n v="3074.59"/>
    <n v="32"/>
    <n v="98386.880000000005"/>
    <n v="15376.320000000007"/>
    <x v="1"/>
    <x v="0"/>
    <x v="1"/>
  </r>
  <r>
    <d v="2023-12-10T00:00:00"/>
    <x v="11"/>
    <x v="0"/>
    <x v="2"/>
    <x v="2"/>
    <x v="2"/>
    <n v="1190.08"/>
    <n v="1292.9399999999901"/>
    <n v="11"/>
    <n v="14222.339999999891"/>
    <n v="1131.4599999998914"/>
    <x v="0"/>
    <x v="0"/>
    <x v="1"/>
  </r>
  <r>
    <d v="2023-12-10T00:00:00"/>
    <x v="11"/>
    <x v="0"/>
    <x v="0"/>
    <x v="3"/>
    <x v="2"/>
    <n v="3895.62"/>
    <n v="4055.44"/>
    <n v="28"/>
    <n v="113552.32000000001"/>
    <n v="4474.9600000000046"/>
    <x v="1"/>
    <x v="1"/>
    <x v="1"/>
  </r>
  <r>
    <d v="2023-12-11T00:00:00"/>
    <x v="11"/>
    <x v="0"/>
    <x v="4"/>
    <x v="2"/>
    <x v="0"/>
    <n v="241.85"/>
    <n v="613.09"/>
    <n v="22"/>
    <n v="13487.980000000001"/>
    <n v="8167.2800000000007"/>
    <x v="0"/>
    <x v="0"/>
    <x v="0"/>
  </r>
  <r>
    <d v="2023-12-12T00:00:00"/>
    <x v="11"/>
    <x v="0"/>
    <x v="0"/>
    <x v="0"/>
    <x v="0"/>
    <n v="467.11"/>
    <n v="792.21"/>
    <n v="8"/>
    <n v="6337.68"/>
    <n v="2600.8000000000002"/>
    <x v="1"/>
    <x v="2"/>
    <x v="0"/>
  </r>
  <r>
    <d v="2023-12-12T00:00:00"/>
    <x v="11"/>
    <x v="0"/>
    <x v="4"/>
    <x v="1"/>
    <x v="2"/>
    <n v="3551.76"/>
    <n v="3696.1"/>
    <n v="47"/>
    <n v="173716.69999999998"/>
    <n v="6783.979999999985"/>
    <x v="0"/>
    <x v="1"/>
    <x v="1"/>
  </r>
  <r>
    <d v="2023-12-13T00:00:00"/>
    <x v="11"/>
    <x v="0"/>
    <x v="4"/>
    <x v="2"/>
    <x v="0"/>
    <n v="3762.27"/>
    <n v="4166.95"/>
    <n v="8"/>
    <n v="33335.599999999999"/>
    <n v="3237.4399999999987"/>
    <x v="0"/>
    <x v="1"/>
    <x v="0"/>
  </r>
  <r>
    <d v="2023-12-13T00:00:00"/>
    <x v="11"/>
    <x v="0"/>
    <x v="1"/>
    <x v="0"/>
    <x v="0"/>
    <n v="2273.88"/>
    <n v="2696.02"/>
    <n v="15"/>
    <n v="40440.300000000003"/>
    <n v="6332.0999999999985"/>
    <x v="1"/>
    <x v="0"/>
    <x v="0"/>
  </r>
  <r>
    <d v="2023-12-14T00:00:00"/>
    <x v="11"/>
    <x v="0"/>
    <x v="1"/>
    <x v="1"/>
    <x v="3"/>
    <n v="866.42"/>
    <n v="878.43"/>
    <n v="33"/>
    <n v="28988.19"/>
    <n v="396.3299999999997"/>
    <x v="1"/>
    <x v="0"/>
    <x v="1"/>
  </r>
  <r>
    <d v="2023-12-15T00:00:00"/>
    <x v="11"/>
    <x v="0"/>
    <x v="3"/>
    <x v="2"/>
    <x v="2"/>
    <n v="2231.66"/>
    <n v="2596.6099999999901"/>
    <n v="13"/>
    <n v="33755.929999999869"/>
    <n v="4744.349999999873"/>
    <x v="0"/>
    <x v="1"/>
    <x v="1"/>
  </r>
  <r>
    <d v="2023-12-15T00:00:00"/>
    <x v="11"/>
    <x v="0"/>
    <x v="2"/>
    <x v="3"/>
    <x v="0"/>
    <n v="1340.51"/>
    <n v="1567.92"/>
    <n v="36"/>
    <n v="56445.120000000003"/>
    <n v="8186.7600000000029"/>
    <x v="1"/>
    <x v="0"/>
    <x v="0"/>
  </r>
  <r>
    <d v="2023-12-15T00:00:00"/>
    <x v="11"/>
    <x v="0"/>
    <x v="2"/>
    <x v="2"/>
    <x v="0"/>
    <n v="563.59"/>
    <n v="838.97"/>
    <n v="6"/>
    <n v="5033.82"/>
    <n v="1652.28"/>
    <x v="1"/>
    <x v="2"/>
    <x v="0"/>
  </r>
  <r>
    <d v="2023-12-15T00:00:00"/>
    <x v="11"/>
    <x v="0"/>
    <x v="2"/>
    <x v="1"/>
    <x v="0"/>
    <n v="3587.74"/>
    <n v="3745.91"/>
    <n v="42"/>
    <n v="157328.22"/>
    <n v="6643.1400000000031"/>
    <x v="0"/>
    <x v="0"/>
    <x v="0"/>
  </r>
  <r>
    <d v="2023-12-15T00:00:00"/>
    <x v="11"/>
    <x v="0"/>
    <x v="4"/>
    <x v="0"/>
    <x v="3"/>
    <n v="2759.26"/>
    <n v="3193.25"/>
    <n v="32"/>
    <n v="102184"/>
    <n v="13887.679999999993"/>
    <x v="1"/>
    <x v="1"/>
    <x v="0"/>
  </r>
  <r>
    <d v="2023-12-15T00:00:00"/>
    <x v="11"/>
    <x v="0"/>
    <x v="3"/>
    <x v="2"/>
    <x v="3"/>
    <n v="2636.36"/>
    <n v="2696.78"/>
    <n v="32"/>
    <n v="86296.960000000006"/>
    <n v="1933.4400000000023"/>
    <x v="1"/>
    <x v="0"/>
    <x v="1"/>
  </r>
  <r>
    <d v="2023-12-16T00:00:00"/>
    <x v="11"/>
    <x v="0"/>
    <x v="0"/>
    <x v="3"/>
    <x v="0"/>
    <n v="3784.96"/>
    <n v="4276.99"/>
    <n v="44"/>
    <n v="188187.56"/>
    <n v="21649.319999999989"/>
    <x v="1"/>
    <x v="1"/>
    <x v="1"/>
  </r>
  <r>
    <d v="2023-12-16T00:00:00"/>
    <x v="11"/>
    <x v="0"/>
    <x v="3"/>
    <x v="0"/>
    <x v="1"/>
    <n v="278.67"/>
    <n v="423.13"/>
    <n v="19"/>
    <n v="8039.47"/>
    <n v="2744.74"/>
    <x v="1"/>
    <x v="2"/>
    <x v="0"/>
  </r>
  <r>
    <d v="2023-12-16T00:00:00"/>
    <x v="11"/>
    <x v="0"/>
    <x v="0"/>
    <x v="3"/>
    <x v="0"/>
    <n v="3519.63"/>
    <n v="3774.65"/>
    <n v="30"/>
    <n v="113239.5"/>
    <n v="7650.5999999999995"/>
    <x v="1"/>
    <x v="2"/>
    <x v="1"/>
  </r>
  <r>
    <d v="2023-12-18T00:00:00"/>
    <x v="11"/>
    <x v="0"/>
    <x v="2"/>
    <x v="3"/>
    <x v="1"/>
    <n v="854.68"/>
    <n v="1115.24"/>
    <n v="4"/>
    <n v="4460.96"/>
    <n v="1042.2400000000002"/>
    <x v="1"/>
    <x v="2"/>
    <x v="1"/>
  </r>
  <r>
    <d v="2023-12-18T00:00:00"/>
    <x v="11"/>
    <x v="0"/>
    <x v="0"/>
    <x v="2"/>
    <x v="3"/>
    <n v="157.15"/>
    <n v="436.53"/>
    <n v="40"/>
    <n v="17461.199999999997"/>
    <n v="11175.2"/>
    <x v="1"/>
    <x v="0"/>
    <x v="1"/>
  </r>
  <r>
    <d v="2023-12-19T00:00:00"/>
    <x v="11"/>
    <x v="0"/>
    <x v="0"/>
    <x v="0"/>
    <x v="3"/>
    <n v="3085.1"/>
    <n v="3200.75"/>
    <n v="21"/>
    <n v="67215.75"/>
    <n v="2428.6500000000019"/>
    <x v="1"/>
    <x v="0"/>
    <x v="1"/>
  </r>
  <r>
    <d v="2023-12-19T00:00:00"/>
    <x v="11"/>
    <x v="0"/>
    <x v="0"/>
    <x v="1"/>
    <x v="2"/>
    <n v="4920.46"/>
    <n v="5079.68"/>
    <n v="12"/>
    <n v="60956.160000000003"/>
    <n v="1910.6400000000031"/>
    <x v="1"/>
    <x v="2"/>
    <x v="1"/>
  </r>
  <r>
    <d v="2023-12-19T00:00:00"/>
    <x v="11"/>
    <x v="0"/>
    <x v="1"/>
    <x v="2"/>
    <x v="1"/>
    <n v="2302.62"/>
    <n v="2740.93"/>
    <n v="46"/>
    <n v="126082.78"/>
    <n v="20162.259999999998"/>
    <x v="0"/>
    <x v="1"/>
    <x v="0"/>
  </r>
  <r>
    <d v="2023-12-19T00:00:00"/>
    <x v="11"/>
    <x v="0"/>
    <x v="4"/>
    <x v="2"/>
    <x v="0"/>
    <n v="4900.03"/>
    <n v="5118.83"/>
    <n v="35"/>
    <n v="179159.05"/>
    <n v="7658.0000000000064"/>
    <x v="0"/>
    <x v="2"/>
    <x v="1"/>
  </r>
  <r>
    <d v="2023-12-19T00:00:00"/>
    <x v="11"/>
    <x v="0"/>
    <x v="4"/>
    <x v="3"/>
    <x v="0"/>
    <n v="4590.24"/>
    <n v="5088.28"/>
    <n v="20"/>
    <n v="101765.59999999999"/>
    <n v="9960.7999999999993"/>
    <x v="1"/>
    <x v="1"/>
    <x v="1"/>
  </r>
  <r>
    <d v="2023-12-20T00:00:00"/>
    <x v="11"/>
    <x v="0"/>
    <x v="1"/>
    <x v="2"/>
    <x v="0"/>
    <n v="2296.9299999999998"/>
    <n v="2319.62"/>
    <n v="23"/>
    <n v="53351.259999999995"/>
    <n v="521.87000000000126"/>
    <x v="0"/>
    <x v="1"/>
    <x v="1"/>
  </r>
  <r>
    <d v="2023-12-20T00:00:00"/>
    <x v="11"/>
    <x v="0"/>
    <x v="2"/>
    <x v="0"/>
    <x v="0"/>
    <n v="2250.91"/>
    <n v="2558.6799999999998"/>
    <n v="2"/>
    <n v="5117.3599999999997"/>
    <n v="615.54"/>
    <x v="1"/>
    <x v="2"/>
    <x v="1"/>
  </r>
  <r>
    <d v="2023-12-20T00:00:00"/>
    <x v="11"/>
    <x v="0"/>
    <x v="0"/>
    <x v="0"/>
    <x v="1"/>
    <n v="4682.34"/>
    <n v="5036.3999999999996"/>
    <n v="12"/>
    <n v="60436.799999999996"/>
    <n v="4248.7199999999939"/>
    <x v="1"/>
    <x v="1"/>
    <x v="1"/>
  </r>
  <r>
    <d v="2023-12-20T00:00:00"/>
    <x v="11"/>
    <x v="0"/>
    <x v="2"/>
    <x v="2"/>
    <x v="2"/>
    <n v="3685.03"/>
    <n v="3743.39"/>
    <n v="39"/>
    <n v="145992.21"/>
    <n v="2276.0399999999872"/>
    <x v="1"/>
    <x v="1"/>
    <x v="0"/>
  </r>
  <r>
    <d v="2023-12-21T00:00:00"/>
    <x v="11"/>
    <x v="0"/>
    <x v="3"/>
    <x v="0"/>
    <x v="1"/>
    <n v="2045"/>
    <n v="2217.5100000000002"/>
    <n v="44"/>
    <n v="97570.44"/>
    <n v="7590.4400000000096"/>
    <x v="0"/>
    <x v="2"/>
    <x v="0"/>
  </r>
  <r>
    <d v="2023-12-22T00:00:00"/>
    <x v="11"/>
    <x v="0"/>
    <x v="2"/>
    <x v="2"/>
    <x v="0"/>
    <n v="1372.36"/>
    <n v="1687.83"/>
    <n v="45"/>
    <n v="75952.349999999991"/>
    <n v="14196.150000000001"/>
    <x v="1"/>
    <x v="2"/>
    <x v="0"/>
  </r>
  <r>
    <d v="2023-12-22T00:00:00"/>
    <x v="11"/>
    <x v="0"/>
    <x v="0"/>
    <x v="0"/>
    <x v="0"/>
    <n v="4840.33"/>
    <n v="4884.29"/>
    <n v="11"/>
    <n v="53727.19"/>
    <n v="483.5600000000004"/>
    <x v="1"/>
    <x v="0"/>
    <x v="0"/>
  </r>
  <r>
    <d v="2023-12-22T00:00:00"/>
    <x v="11"/>
    <x v="0"/>
    <x v="3"/>
    <x v="1"/>
    <x v="3"/>
    <n v="1250.5899999999999"/>
    <n v="1515.48999999999"/>
    <n v="11"/>
    <n v="16670.38999999989"/>
    <n v="2913.899999999891"/>
    <x v="0"/>
    <x v="1"/>
    <x v="1"/>
  </r>
  <r>
    <d v="2023-12-22T00:00:00"/>
    <x v="11"/>
    <x v="0"/>
    <x v="1"/>
    <x v="2"/>
    <x v="1"/>
    <n v="3752.68"/>
    <n v="4017.91"/>
    <n v="2"/>
    <n v="8035.82"/>
    <n v="530.46"/>
    <x v="0"/>
    <x v="1"/>
    <x v="0"/>
  </r>
  <r>
    <d v="2023-12-22T00:00:00"/>
    <x v="11"/>
    <x v="0"/>
    <x v="1"/>
    <x v="2"/>
    <x v="3"/>
    <n v="1127.8599999999999"/>
    <n v="1586.29"/>
    <n v="18"/>
    <n v="28553.22"/>
    <n v="8251.7400000000016"/>
    <x v="1"/>
    <x v="2"/>
    <x v="0"/>
  </r>
  <r>
    <d v="2023-12-22T00:00:00"/>
    <x v="11"/>
    <x v="0"/>
    <x v="4"/>
    <x v="0"/>
    <x v="0"/>
    <n v="1364.51"/>
    <n v="1844.8"/>
    <n v="45"/>
    <n v="83016"/>
    <n v="21613.05"/>
    <x v="0"/>
    <x v="0"/>
    <x v="0"/>
  </r>
  <r>
    <d v="2023-12-23T00:00:00"/>
    <x v="11"/>
    <x v="0"/>
    <x v="4"/>
    <x v="3"/>
    <x v="3"/>
    <n v="1551.25"/>
    <n v="1994.01"/>
    <n v="33"/>
    <n v="65802.33"/>
    <n v="14611.08"/>
    <x v="0"/>
    <x v="0"/>
    <x v="0"/>
  </r>
  <r>
    <d v="2023-12-23T00:00:00"/>
    <x v="11"/>
    <x v="0"/>
    <x v="3"/>
    <x v="3"/>
    <x v="2"/>
    <n v="3374.72"/>
    <n v="3483.1499999999901"/>
    <n v="47"/>
    <n v="163708.04999999952"/>
    <n v="5096.2099999995435"/>
    <x v="0"/>
    <x v="0"/>
    <x v="0"/>
  </r>
  <r>
    <d v="2023-12-25T00:00:00"/>
    <x v="11"/>
    <x v="0"/>
    <x v="4"/>
    <x v="1"/>
    <x v="1"/>
    <n v="2146.2399999999998"/>
    <n v="2173.4699999999998"/>
    <n v="28"/>
    <n v="60857.159999999996"/>
    <n v="762.44000000000051"/>
    <x v="0"/>
    <x v="0"/>
    <x v="1"/>
  </r>
  <r>
    <d v="2023-12-25T00:00:00"/>
    <x v="11"/>
    <x v="0"/>
    <x v="2"/>
    <x v="1"/>
    <x v="3"/>
    <n v="3289.01"/>
    <n v="3508.14"/>
    <n v="30"/>
    <n v="105244.2"/>
    <n v="6573.8999999999896"/>
    <x v="1"/>
    <x v="1"/>
    <x v="1"/>
  </r>
  <r>
    <d v="2023-12-25T00:00:00"/>
    <x v="11"/>
    <x v="0"/>
    <x v="2"/>
    <x v="0"/>
    <x v="2"/>
    <n v="1249.17"/>
    <n v="1727.15"/>
    <n v="43"/>
    <n v="74267.45"/>
    <n v="20553.14"/>
    <x v="1"/>
    <x v="0"/>
    <x v="1"/>
  </r>
  <r>
    <d v="2023-12-25T00:00:00"/>
    <x v="11"/>
    <x v="0"/>
    <x v="3"/>
    <x v="0"/>
    <x v="0"/>
    <n v="1154.28"/>
    <n v="1408.4"/>
    <n v="25"/>
    <n v="35210"/>
    <n v="6353.0000000000027"/>
    <x v="0"/>
    <x v="1"/>
    <x v="1"/>
  </r>
  <r>
    <d v="2023-12-25T00:00:00"/>
    <x v="11"/>
    <x v="0"/>
    <x v="0"/>
    <x v="1"/>
    <x v="0"/>
    <n v="4248.5"/>
    <n v="4706.7"/>
    <n v="32"/>
    <n v="150614.39999999999"/>
    <n v="14662.399999999994"/>
    <x v="1"/>
    <x v="1"/>
    <x v="1"/>
  </r>
  <r>
    <d v="2023-12-26T00:00:00"/>
    <x v="11"/>
    <x v="0"/>
    <x v="2"/>
    <x v="0"/>
    <x v="1"/>
    <n v="4114.66"/>
    <n v="4269.0199999999904"/>
    <n v="17"/>
    <n v="72573.339999999836"/>
    <n v="2624.1199999998398"/>
    <x v="0"/>
    <x v="1"/>
    <x v="1"/>
  </r>
  <r>
    <d v="2023-12-26T00:00:00"/>
    <x v="11"/>
    <x v="0"/>
    <x v="2"/>
    <x v="1"/>
    <x v="0"/>
    <n v="4100.62"/>
    <n v="4230"/>
    <n v="11"/>
    <n v="46530"/>
    <n v="1423.1800000000012"/>
    <x v="1"/>
    <x v="1"/>
    <x v="0"/>
  </r>
  <r>
    <d v="2023-12-26T00:00:00"/>
    <x v="11"/>
    <x v="0"/>
    <x v="1"/>
    <x v="0"/>
    <x v="1"/>
    <n v="1662.83"/>
    <n v="2074.25"/>
    <n v="23"/>
    <n v="47707.75"/>
    <n v="9462.6600000000017"/>
    <x v="1"/>
    <x v="1"/>
    <x v="0"/>
  </r>
  <r>
    <d v="2023-12-26T00:00:00"/>
    <x v="11"/>
    <x v="0"/>
    <x v="0"/>
    <x v="2"/>
    <x v="2"/>
    <n v="4148.4799999999996"/>
    <n v="4293.6899999999996"/>
    <n v="25"/>
    <n v="107342.24999999999"/>
    <n v="3630.2500000000009"/>
    <x v="1"/>
    <x v="1"/>
    <x v="0"/>
  </r>
  <r>
    <d v="2023-12-27T00:00:00"/>
    <x v="11"/>
    <x v="0"/>
    <x v="3"/>
    <x v="3"/>
    <x v="3"/>
    <n v="1612.82"/>
    <n v="1647.25"/>
    <n v="4"/>
    <n v="6589"/>
    <n v="137.72000000000025"/>
    <x v="0"/>
    <x v="2"/>
    <x v="1"/>
  </r>
  <r>
    <d v="2023-12-27T00:00:00"/>
    <x v="11"/>
    <x v="0"/>
    <x v="3"/>
    <x v="1"/>
    <x v="1"/>
    <n v="2403.16"/>
    <n v="2453.35"/>
    <n v="31"/>
    <n v="76053.849999999991"/>
    <n v="1555.8900000000017"/>
    <x v="0"/>
    <x v="2"/>
    <x v="0"/>
  </r>
  <r>
    <d v="2023-12-27T00:00:00"/>
    <x v="11"/>
    <x v="0"/>
    <x v="2"/>
    <x v="3"/>
    <x v="3"/>
    <n v="1447.72"/>
    <n v="1875.75"/>
    <n v="40"/>
    <n v="75030"/>
    <n v="17121.199999999997"/>
    <x v="1"/>
    <x v="0"/>
    <x v="1"/>
  </r>
  <r>
    <d v="2023-12-28T00:00:00"/>
    <x v="11"/>
    <x v="0"/>
    <x v="2"/>
    <x v="2"/>
    <x v="3"/>
    <n v="4334.58"/>
    <n v="4431.04"/>
    <n v="18"/>
    <n v="79758.720000000001"/>
    <n v="1736.2800000000007"/>
    <x v="1"/>
    <x v="1"/>
    <x v="1"/>
  </r>
  <r>
    <d v="2023-12-28T00:00:00"/>
    <x v="11"/>
    <x v="0"/>
    <x v="3"/>
    <x v="2"/>
    <x v="1"/>
    <n v="83.86"/>
    <n v="526.14"/>
    <n v="46"/>
    <n v="24202.44"/>
    <n v="20344.879999999997"/>
    <x v="0"/>
    <x v="2"/>
    <x v="0"/>
  </r>
  <r>
    <d v="2023-12-29T00:00:00"/>
    <x v="11"/>
    <x v="0"/>
    <x v="2"/>
    <x v="0"/>
    <x v="1"/>
    <n v="1830.61"/>
    <n v="2044.04"/>
    <n v="10"/>
    <n v="20440.400000000001"/>
    <n v="2134.3000000000006"/>
    <x v="1"/>
    <x v="0"/>
    <x v="0"/>
  </r>
  <r>
    <d v="2023-12-29T00:00:00"/>
    <x v="11"/>
    <x v="0"/>
    <x v="0"/>
    <x v="0"/>
    <x v="1"/>
    <n v="3417.9"/>
    <n v="3714.52"/>
    <n v="5"/>
    <n v="18572.599999999999"/>
    <n v="1483.0999999999995"/>
    <x v="0"/>
    <x v="2"/>
    <x v="1"/>
  </r>
  <r>
    <d v="2023-12-29T00:00:00"/>
    <x v="11"/>
    <x v="0"/>
    <x v="1"/>
    <x v="1"/>
    <x v="3"/>
    <n v="2945.92"/>
    <n v="3381.22"/>
    <n v="38"/>
    <n v="128486.35999999999"/>
    <n v="16541.399999999991"/>
    <x v="0"/>
    <x v="0"/>
    <x v="1"/>
  </r>
  <r>
    <d v="2023-12-29T00:00:00"/>
    <x v="11"/>
    <x v="0"/>
    <x v="2"/>
    <x v="0"/>
    <x v="2"/>
    <n v="3160.61"/>
    <n v="3273.22"/>
    <n v="34"/>
    <n v="111289.48"/>
    <n v="3828.7399999999889"/>
    <x v="0"/>
    <x v="2"/>
    <x v="1"/>
  </r>
  <r>
    <d v="2023-12-30T00:00:00"/>
    <x v="11"/>
    <x v="0"/>
    <x v="4"/>
    <x v="3"/>
    <x v="1"/>
    <n v="395.11"/>
    <n v="676.66"/>
    <n v="17"/>
    <n v="11503.22"/>
    <n v="4786.3499999999995"/>
    <x v="0"/>
    <x v="0"/>
    <x v="1"/>
  </r>
  <r>
    <d v="2023-12-30T00:00:00"/>
    <x v="11"/>
    <x v="0"/>
    <x v="2"/>
    <x v="2"/>
    <x v="2"/>
    <n v="2097.84"/>
    <n v="2270.9899999999998"/>
    <n v="28"/>
    <n v="63587.719999999994"/>
    <n v="4848.1999999999898"/>
    <x v="1"/>
    <x v="2"/>
    <x v="1"/>
  </r>
  <r>
    <d v="2023-12-30T00:00:00"/>
    <x v="11"/>
    <x v="0"/>
    <x v="2"/>
    <x v="1"/>
    <x v="0"/>
    <n v="335.82"/>
    <n v="498.31"/>
    <n v="9"/>
    <n v="4484.79"/>
    <n v="1462.41"/>
    <x v="1"/>
    <x v="0"/>
    <x v="1"/>
  </r>
  <r>
    <d v="2023-12-30T00:00:00"/>
    <x v="11"/>
    <x v="0"/>
    <x v="3"/>
    <x v="2"/>
    <x v="2"/>
    <n v="3124.87"/>
    <n v="3383.67"/>
    <n v="29"/>
    <n v="98126.430000000008"/>
    <n v="7505.2000000000053"/>
    <x v="1"/>
    <x v="2"/>
    <x v="1"/>
  </r>
  <r>
    <d v="2023-12-31T00:00:00"/>
    <x v="11"/>
    <x v="0"/>
    <x v="4"/>
    <x v="1"/>
    <x v="1"/>
    <n v="4190.28"/>
    <n v="4270.6499999999996"/>
    <n v="30"/>
    <n v="128119.49999999999"/>
    <n v="2411.0999999999967"/>
    <x v="1"/>
    <x v="0"/>
    <x v="0"/>
  </r>
  <r>
    <d v="2023-12-31T00:00:00"/>
    <x v="11"/>
    <x v="0"/>
    <x v="4"/>
    <x v="2"/>
    <x v="0"/>
    <n v="1910.47"/>
    <n v="2217.8000000000002"/>
    <n v="44"/>
    <n v="97583.200000000012"/>
    <n v="13522.520000000008"/>
    <x v="1"/>
    <x v="1"/>
    <x v="0"/>
  </r>
  <r>
    <d v="2023-12-31T00:00:00"/>
    <x v="11"/>
    <x v="0"/>
    <x v="4"/>
    <x v="1"/>
    <x v="0"/>
    <n v="3419.33"/>
    <n v="3890.3599999999901"/>
    <n v="33"/>
    <n v="128381.87999999967"/>
    <n v="15543.989999999676"/>
    <x v="0"/>
    <x v="0"/>
    <x v="1"/>
  </r>
  <r>
    <d v="2023-12-31T00:00:00"/>
    <x v="11"/>
    <x v="0"/>
    <x v="0"/>
    <x v="2"/>
    <x v="0"/>
    <n v="4665.12"/>
    <n v="4675.8999999999996"/>
    <n v="46"/>
    <n v="215091.4"/>
    <n v="495.87999999998829"/>
    <x v="1"/>
    <x v="0"/>
    <x v="1"/>
  </r>
  <r>
    <d v="2023-12-31T00:00:00"/>
    <x v="11"/>
    <x v="0"/>
    <x v="3"/>
    <x v="1"/>
    <x v="3"/>
    <n v="4111.93"/>
    <n v="4338.67"/>
    <n v="15"/>
    <n v="65080.05"/>
    <n v="3401.0999999999967"/>
    <x v="0"/>
    <x v="2"/>
    <x v="0"/>
  </r>
  <r>
    <d v="2024-01-01T00:00:00"/>
    <x v="0"/>
    <x v="1"/>
    <x v="4"/>
    <x v="2"/>
    <x v="2"/>
    <n v="1362.78"/>
    <n v="1729.81"/>
    <n v="24"/>
    <n v="41515.440000000002"/>
    <n v="8808.7199999999993"/>
    <x v="1"/>
    <x v="1"/>
    <x v="0"/>
  </r>
  <r>
    <d v="2024-01-01T00:00:00"/>
    <x v="0"/>
    <x v="1"/>
    <x v="2"/>
    <x v="3"/>
    <x v="3"/>
    <n v="63.41"/>
    <n v="314.93"/>
    <n v="42"/>
    <n v="13227.06"/>
    <n v="10563.84"/>
    <x v="0"/>
    <x v="0"/>
    <x v="1"/>
  </r>
  <r>
    <d v="2024-01-01T00:00:00"/>
    <x v="0"/>
    <x v="1"/>
    <x v="3"/>
    <x v="1"/>
    <x v="0"/>
    <n v="213.41"/>
    <n v="503.36"/>
    <n v="11"/>
    <n v="5536.96"/>
    <n v="3189.4500000000007"/>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AC9AD-920A-434D-BBE8-CC58CF08C7FB}"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2:Q3" firstHeaderRow="0" firstDataRow="1" firstDataCol="0"/>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dataField="1" showAll="0"/>
    <pivotField showAll="0"/>
    <pivotField showAll="0"/>
    <pivotField showAll="0">
      <items count="3">
        <item x="0"/>
        <item x="1"/>
        <item t="default"/>
      </items>
    </pivotField>
  </pivotFields>
  <rowItems count="1">
    <i/>
  </rowItems>
  <colFields count="1">
    <field x="-2"/>
  </colFields>
  <colItems count="2">
    <i>
      <x/>
    </i>
    <i i="1">
      <x v="1"/>
    </i>
  </colItems>
  <dataFields count="2">
    <dataField name="Sum of TOTAL_REVENUE" fld="9" baseField="0" baseItem="0" numFmtId="168"/>
    <dataField name="Sum of Total_profit" fld="10" baseField="0" baseItem="0"/>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163EA-1D9B-4393-9082-4B83B8EA9044}"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9:E23"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showAll="0"/>
    <pivotField axis="axisRow" showAll="0">
      <items count="4">
        <item x="1"/>
        <item x="0"/>
        <item x="2"/>
        <item t="default"/>
      </items>
    </pivotField>
    <pivotField showAll="0"/>
  </pivotFields>
  <rowFields count="1">
    <field x="12"/>
  </rowFields>
  <rowItems count="4">
    <i>
      <x/>
    </i>
    <i>
      <x v="1"/>
    </i>
    <i>
      <x v="2"/>
    </i>
    <i t="grand">
      <x/>
    </i>
  </rowItems>
  <colItems count="1">
    <i/>
  </colItems>
  <dataFields count="1">
    <dataField name="Sum of TOTAL_REVENUE" fld="9" baseField="0" baseItem="0" numFmtId="169"/>
  </dataFields>
  <formats count="2">
    <format dxfId="15">
      <pivotArea outline="0" collapsedLevelsAreSubtotals="1" fieldPosition="0"/>
    </format>
    <format dxfId="14">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52F48-2952-4868-A06D-6AB77F8D3EF8}"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0:K15"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axis="axisRow" showAll="0">
      <items count="5">
        <item x="0"/>
        <item x="2"/>
        <item x="3"/>
        <item x="1"/>
        <item t="default"/>
      </items>
    </pivotField>
    <pivotField showAll="0"/>
    <pivotField showAll="0"/>
    <pivotField showAll="0"/>
    <pivotField showAll="0"/>
    <pivotField dataField="1" showAll="0"/>
    <pivotField showAll="0"/>
    <pivotField showAll="0"/>
    <pivotField showAll="0">
      <items count="3">
        <item x="0"/>
        <item x="1"/>
        <item t="default"/>
      </items>
    </pivotField>
  </pivotFields>
  <rowFields count="1">
    <field x="5"/>
  </rowFields>
  <rowItems count="5">
    <i>
      <x/>
    </i>
    <i>
      <x v="1"/>
    </i>
    <i>
      <x v="2"/>
    </i>
    <i>
      <x v="3"/>
    </i>
    <i t="grand">
      <x/>
    </i>
  </rowItems>
  <colItems count="1">
    <i/>
  </colItems>
  <dataFields count="1">
    <dataField name="Sum of Total_profit" fld="10" baseField="0" baseItem="0" numFmtId="169"/>
  </dataFields>
  <formats count="2">
    <format dxfId="20">
      <pivotArea outline="0" collapsedLevelsAreSubtotals="1" fieldPosition="0"/>
    </format>
    <format dxfId="1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F6F6B-E690-4522-9CF8-E197741F8564}"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6"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axis="axisRow" showAll="0">
      <items count="3">
        <item x="1"/>
        <item x="0"/>
        <item t="default"/>
      </items>
    </pivotField>
    <pivotField showAll="0"/>
    <pivotField showAll="0">
      <items count="3">
        <item x="0"/>
        <item x="1"/>
        <item t="default"/>
      </items>
    </pivotField>
  </pivotFields>
  <rowFields count="1">
    <field x="11"/>
  </rowFields>
  <rowItems count="3">
    <i>
      <x/>
    </i>
    <i>
      <x v="1"/>
    </i>
    <i t="grand">
      <x/>
    </i>
  </rowItems>
  <colItems count="1">
    <i/>
  </colItems>
  <dataFields count="1">
    <dataField name="Sum of TOTAL_REVENUE" fld="9" baseField="0" baseItem="0" numFmtId="169"/>
  </dataFields>
  <formats count="1">
    <format dxfId="21">
      <pivotArea outline="0" collapsedLevelsAreSubtotals="1" fieldPosition="0"/>
    </format>
  </format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7348D3-F672-43F7-B138-B698740284E5}"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3:E16"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Sum of TOTAL_REVENUE" fld="9" baseField="0" baseItem="0" numFmtId="169"/>
  </dataFields>
  <formats count="1">
    <format dxfId="16">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20A9CB-5A45-40A0-B257-3C1C65A544F7}"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9"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axis="axisRow"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showAll="0"/>
    <pivotField showAll="0"/>
    <pivotField showAll="0">
      <items count="3">
        <item x="0"/>
        <item x="1"/>
        <item t="default"/>
      </items>
    </pivotField>
  </pivotFields>
  <rowFields count="1">
    <field x="3"/>
  </rowFields>
  <rowItems count="6">
    <i>
      <x/>
    </i>
    <i>
      <x v="1"/>
    </i>
    <i>
      <x v="2"/>
    </i>
    <i>
      <x v="3"/>
    </i>
    <i>
      <x v="4"/>
    </i>
    <i t="grand">
      <x/>
    </i>
  </rowItems>
  <colItems count="1">
    <i/>
  </colItems>
  <dataFields count="1">
    <dataField name="Sum of TOTAL_REVENUE" fld="9" baseField="0" baseItem="0" numFmtId="169"/>
  </dataFields>
  <formats count="1">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EE2CDF-461F-4BE5-BB26-125126A935E6}"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4">
    <pivotField numFmtId="14" showAll="0"/>
    <pivotField axis="axisRow" showAll="0">
      <items count="24">
        <item m="1" x="12"/>
        <item m="1" x="13"/>
        <item m="1" x="14"/>
        <item m="1" x="15"/>
        <item x="4"/>
        <item m="1" x="16"/>
        <item m="1" x="17"/>
        <item m="1" x="18"/>
        <item m="1" x="19"/>
        <item m="1" x="20"/>
        <item m="1" x="21"/>
        <item m="1" x="22"/>
        <item x="0"/>
        <item x="1"/>
        <item x="2"/>
        <item x="3"/>
        <item x="5"/>
        <item x="6"/>
        <item x="7"/>
        <item x="8"/>
        <item x="9"/>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showAll="0"/>
    <pivotField showAll="0"/>
    <pivotField showAll="0">
      <items count="3">
        <item x="0"/>
        <item x="1"/>
        <item t="default"/>
      </items>
    </pivotField>
  </pivotFields>
  <rowFields count="1">
    <field x="1"/>
  </rowFields>
  <rowItems count="13">
    <i>
      <x v="4"/>
    </i>
    <i>
      <x v="12"/>
    </i>
    <i>
      <x v="13"/>
    </i>
    <i>
      <x v="14"/>
    </i>
    <i>
      <x v="15"/>
    </i>
    <i>
      <x v="16"/>
    </i>
    <i>
      <x v="17"/>
    </i>
    <i>
      <x v="18"/>
    </i>
    <i>
      <x v="19"/>
    </i>
    <i>
      <x v="20"/>
    </i>
    <i>
      <x v="21"/>
    </i>
    <i>
      <x v="22"/>
    </i>
    <i t="grand">
      <x/>
    </i>
  </rowItems>
  <colItems count="1">
    <i/>
  </colItems>
  <dataFields count="1">
    <dataField name="Sum of TOTAL_REVENUE" fld="9" baseField="0" baseItem="0" numFmtId="169"/>
  </dataFields>
  <formats count="4">
    <format dxfId="29">
      <pivotArea dataOnly="0" labelOnly="1" outline="0" axis="axisValues" fieldPosition="0"/>
    </format>
    <format dxfId="27">
      <pivotArea collapsedLevelsAreSubtotals="1" fieldPosition="0">
        <references count="1">
          <reference field="1" count="1">
            <x v="4"/>
          </reference>
        </references>
      </pivotArea>
    </format>
    <format dxfId="26">
      <pivotArea collapsedLevelsAreSubtotals="1" fieldPosition="0">
        <references count="1">
          <reference field="1" count="1">
            <x v="12"/>
          </reference>
        </references>
      </pivotArea>
    </format>
    <format dxfId="22">
      <pivotArea outline="0" collapsedLevelsAreSubtotals="1" fieldPosition="0"/>
    </format>
  </formats>
  <chartFormats count="1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5" format="7">
      <pivotArea type="data" outline="0" fieldPosition="0">
        <references count="2">
          <reference field="4294967294" count="1" selected="0">
            <x v="0"/>
          </reference>
          <reference field="1" count="1" selected="0">
            <x v="5"/>
          </reference>
        </references>
      </pivotArea>
    </chartFormat>
    <chartFormat chart="5" format="8">
      <pivotArea type="data" outline="0" fieldPosition="0">
        <references count="2">
          <reference field="4294967294" count="1" selected="0">
            <x v="0"/>
          </reference>
          <reference field="1" count="1" selected="0">
            <x v="6"/>
          </reference>
        </references>
      </pivotArea>
    </chartFormat>
    <chartFormat chart="5" format="9">
      <pivotArea type="data" outline="0" fieldPosition="0">
        <references count="2">
          <reference field="4294967294" count="1" selected="0">
            <x v="0"/>
          </reference>
          <reference field="1" count="1" selected="0">
            <x v="7"/>
          </reference>
        </references>
      </pivotArea>
    </chartFormat>
    <chartFormat chart="5" format="10">
      <pivotArea type="data" outline="0" fieldPosition="0">
        <references count="2">
          <reference field="4294967294" count="1" selected="0">
            <x v="0"/>
          </reference>
          <reference field="1" count="1" selected="0">
            <x v="8"/>
          </reference>
        </references>
      </pivotArea>
    </chartFormat>
    <chartFormat chart="5" format="11">
      <pivotArea type="data" outline="0" fieldPosition="0">
        <references count="2">
          <reference field="4294967294" count="1" selected="0">
            <x v="0"/>
          </reference>
          <reference field="1" count="1" selected="0">
            <x v="9"/>
          </reference>
        </references>
      </pivotArea>
    </chartFormat>
    <chartFormat chart="5" format="12">
      <pivotArea type="data" outline="0" fieldPosition="0">
        <references count="2">
          <reference field="4294967294" count="1" selected="0">
            <x v="0"/>
          </reference>
          <reference field="1" count="1" selected="0">
            <x v="10"/>
          </reference>
        </references>
      </pivotArea>
    </chartFormat>
    <chartFormat chart="5" format="13">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DDF58C-17F3-447E-8148-105AE28E6BF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8"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showAll="0">
      <items count="5">
        <item x="3"/>
        <item x="0"/>
        <item x="1"/>
        <item x="2"/>
        <item t="default"/>
      </items>
    </pivotField>
    <pivotField axis="axisRow" showAll="0">
      <items count="5">
        <item x="0"/>
        <item x="2"/>
        <item x="3"/>
        <item x="1"/>
        <item t="default"/>
      </items>
    </pivotField>
    <pivotField showAll="0"/>
    <pivotField showAll="0"/>
    <pivotField showAll="0"/>
    <pivotField dataField="1" showAll="0"/>
    <pivotField showAll="0"/>
    <pivotField showAll="0"/>
    <pivotField showAll="0"/>
    <pivotField showAll="0">
      <items count="3">
        <item x="0"/>
        <item x="1"/>
        <item t="default"/>
      </items>
    </pivotField>
  </pivotFields>
  <rowFields count="1">
    <field x="5"/>
  </rowFields>
  <rowItems count="5">
    <i>
      <x/>
    </i>
    <i>
      <x v="1"/>
    </i>
    <i>
      <x v="2"/>
    </i>
    <i>
      <x v="3"/>
    </i>
    <i t="grand">
      <x/>
    </i>
  </rowItems>
  <colItems count="1">
    <i/>
  </colItems>
  <dataFields count="1">
    <dataField name="Sum of TOTAL_REVENUE" fld="9" baseField="0" baseItem="0" numFmtId="169"/>
  </dataFields>
  <formats count="1">
    <format dxfId="17">
      <pivotArea outline="0" collapsedLevelsAreSubtotals="1" fieldPosition="0"/>
    </format>
  </formats>
  <chartFormats count="5">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5" count="1" selected="0">
            <x v="0"/>
          </reference>
        </references>
      </pivotArea>
    </chartFormat>
    <chartFormat chart="14" format="13">
      <pivotArea type="data" outline="0" fieldPosition="0">
        <references count="2">
          <reference field="4294967294" count="1" selected="0">
            <x v="0"/>
          </reference>
          <reference field="5" count="1" selected="0">
            <x v="1"/>
          </reference>
        </references>
      </pivotArea>
    </chartFormat>
    <chartFormat chart="14" format="14">
      <pivotArea type="data" outline="0" fieldPosition="0">
        <references count="2">
          <reference field="4294967294" count="1" selected="0">
            <x v="0"/>
          </reference>
          <reference field="5" count="1" selected="0">
            <x v="2"/>
          </reference>
        </references>
      </pivotArea>
    </chartFormat>
    <chartFormat chart="14"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547727-C549-4E30-A304-42349822A87E}"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numFmtId="14" showAll="0"/>
    <pivotField showAll="0">
      <items count="24">
        <item x="0"/>
        <item m="1" x="12"/>
        <item x="1"/>
        <item x="2"/>
        <item m="1" x="13"/>
        <item m="1" x="14"/>
        <item m="1" x="15"/>
        <item x="3"/>
        <item x="4"/>
        <item m="1" x="16"/>
        <item x="5"/>
        <item x="6"/>
        <item m="1" x="17"/>
        <item m="1" x="18"/>
        <item m="1" x="19"/>
        <item x="7"/>
        <item x="8"/>
        <item m="1" x="20"/>
        <item m="1" x="21"/>
        <item x="9"/>
        <item m="1" x="22"/>
        <item x="10"/>
        <item x="11"/>
        <item t="default"/>
      </items>
    </pivotField>
    <pivotField showAll="0">
      <items count="3">
        <item x="0"/>
        <item x="1"/>
        <item t="default"/>
      </items>
    </pivotField>
    <pivotField showAll="0">
      <items count="6">
        <item x="4"/>
        <item x="3"/>
        <item x="1"/>
        <item x="2"/>
        <item x="0"/>
        <item t="default"/>
      </items>
    </pivotField>
    <pivotField axis="axisRow" showAll="0">
      <items count="5">
        <item x="3"/>
        <item x="0"/>
        <item x="1"/>
        <item x="2"/>
        <item t="default"/>
      </items>
    </pivotField>
    <pivotField showAll="0">
      <items count="5">
        <item x="0"/>
        <item x="2"/>
        <item x="3"/>
        <item x="1"/>
        <item t="default"/>
      </items>
    </pivotField>
    <pivotField showAll="0"/>
    <pivotField showAll="0"/>
    <pivotField showAll="0"/>
    <pivotField dataField="1" showAll="0"/>
    <pivotField showAll="0"/>
    <pivotField showAll="0"/>
    <pivotField showAll="0"/>
    <pivotField showAll="0">
      <items count="3">
        <item x="0"/>
        <item x="1"/>
        <item t="default"/>
      </items>
    </pivotField>
  </pivotFields>
  <rowFields count="1">
    <field x="4"/>
  </rowFields>
  <rowItems count="5">
    <i>
      <x/>
    </i>
    <i>
      <x v="1"/>
    </i>
    <i>
      <x v="2"/>
    </i>
    <i>
      <x v="3"/>
    </i>
    <i t="grand">
      <x/>
    </i>
  </rowItems>
  <colItems count="1">
    <i/>
  </colItems>
  <dataFields count="1">
    <dataField name="Sum of TOTAL_REVENUE" fld="9" baseField="0" baseItem="0" numFmtId="169"/>
  </dataFields>
  <formats count="1">
    <format dxfId="12">
      <pivotArea outline="0" collapsedLevelsAreSubtotals="1" fieldPosition="0"/>
    </format>
  </formats>
  <chartFormats count="1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3616D9-0E4E-47AA-8618-F90AD7A995B7}" sourceName="year">
  <pivotTables>
    <pivotTable tabId="3" name="PivotTable3"/>
    <pivotTable tabId="3" name="PivotTable1"/>
    <pivotTable tabId="3" name="PivotTable10"/>
    <pivotTable tabId="3" name="PivotTable2"/>
    <pivotTable tabId="3" name="PivotTable5"/>
    <pivotTable tabId="3" name="PivotTable6"/>
    <pivotTable tabId="3" name="PivotTable7"/>
    <pivotTable tabId="3" name="PivotTable8"/>
    <pivotTable tabId="3" name="PivotTable9"/>
  </pivotTables>
  <data>
    <tabular pivotCacheId="3407479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5A69BE-1059-4F12-9822-C36827C0B68C}" sourceName="month">
  <pivotTables>
    <pivotTable tabId="3" name="PivotTable2"/>
    <pivotTable tabId="3" name="PivotTable1"/>
    <pivotTable tabId="3" name="PivotTable10"/>
    <pivotTable tabId="3" name="PivotTable5"/>
    <pivotTable tabId="3" name="PivotTable6"/>
    <pivotTable tabId="3" name="PivotTable7"/>
    <pivotTable tabId="3" name="PivotTable8"/>
    <pivotTable tabId="3" name="PivotTable9"/>
  </pivotTables>
  <data>
    <tabular pivotCacheId="340747939">
      <items count="23">
        <i x="0" s="1"/>
        <i x="1" s="1"/>
        <i x="2" s="1"/>
        <i x="3" s="1"/>
        <i x="5" s="1"/>
        <i x="4" s="1"/>
        <i x="6" s="1"/>
        <i x="7" s="1"/>
        <i x="8" s="1"/>
        <i x="9" s="1"/>
        <i x="10" s="1"/>
        <i x="11" s="1"/>
        <i x="13" s="1" nd="1"/>
        <i x="15" s="1" nd="1"/>
        <i x="19" s="1" nd="1"/>
        <i x="17" s="1" nd="1"/>
        <i x="12" s="1" nd="1"/>
        <i x="14" s="1" nd="1"/>
        <i x="16" s="1" nd="1"/>
        <i x="18" s="1" nd="1"/>
        <i x="20" s="1" nd="1"/>
        <i x="21" s="1" nd="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388384E-A90D-4F22-BEC1-A8DF90608473}" sourceName="Sales_Rep">
  <pivotTables>
    <pivotTable tabId="3" name="PivotTable3"/>
    <pivotTable tabId="3" name="PivotTable1"/>
    <pivotTable tabId="3" name="PivotTable10"/>
    <pivotTable tabId="3" name="PivotTable2"/>
    <pivotTable tabId="3" name="PivotTable6"/>
    <pivotTable tabId="3" name="PivotTable7"/>
    <pivotTable tabId="3" name="PivotTable8"/>
    <pivotTable tabId="3" name="PivotTable9"/>
  </pivotTables>
  <data>
    <tabular pivotCacheId="340747939">
      <items count="5">
        <i x="4" s="1"/>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CD2838-9ED7-4D82-8D6A-C05318177867}" sourceName="Region">
  <pivotTables>
    <pivotTable tabId="3" name="PivotTable3"/>
    <pivotTable tabId="3" name="PivotTable10"/>
    <pivotTable tabId="3" name="PivotTable2"/>
    <pivotTable tabId="3" name="PivotTable5"/>
    <pivotTable tabId="3" name="PivotTable6"/>
    <pivotTable tabId="3" name="PivotTable7"/>
    <pivotTable tabId="3" name="PivotTable8"/>
    <pivotTable tabId="3" name="PivotTable9"/>
  </pivotTables>
  <data>
    <tabular pivotCacheId="340747939">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13DD134-6C2C-49B3-AB49-0EA7B144DCC9}" sourceName="Sales_Channel">
  <pivotTables>
    <pivotTable tabId="3" name="PivotTable3"/>
    <pivotTable tabId="3" name="PivotTable1"/>
    <pivotTable tabId="3" name="PivotTable10"/>
    <pivotTable tabId="3" name="PivotTable2"/>
    <pivotTable tabId="3" name="PivotTable5"/>
    <pivotTable tabId="3" name="PivotTable7"/>
    <pivotTable tabId="3" name="PivotTable8"/>
  </pivotTables>
  <data>
    <tabular pivotCacheId="34074793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B0BD48F-BFFF-4F0F-91D0-A77CCFC4B6D3}" sourceName="Product_Category">
  <pivotTables>
    <pivotTable tabId="3" name="PivotTable3"/>
    <pivotTable tabId="3" name="PivotTable1"/>
    <pivotTable tabId="3" name="PivotTable10"/>
    <pivotTable tabId="3" name="PivotTable5"/>
    <pivotTable tabId="3" name="PivotTable6"/>
    <pivotTable tabId="3" name="PivotTable7"/>
    <pivotTable tabId="3" name="PivotTable9"/>
  </pivotTables>
  <data>
    <tabular pivotCacheId="340747939">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E2ACA60-3F1D-4ADF-8757-387D95C2EE4A}" cache="Slicer_year" caption="year" columnCount="2" rowHeight="234950"/>
  <slicer name="month" xr10:uid="{DCC821C6-4AD0-46C2-A3B3-1DAA02FB55B9}" cache="Slicer_month" caption="month" columnCount="12" rowHeight="234950"/>
  <slicer name="Sales_Rep" xr10:uid="{BE2B1775-7F34-4B7D-938A-414B080D30D5}" cache="Slicer_Sales_Rep" caption="Sales_Rep" rowHeight="234950"/>
  <slicer name="Region" xr10:uid="{EF076E60-7885-4D36-A5DF-0DD33A61B402}" cache="Slicer_Region" caption="Region" rowHeight="234950"/>
  <slicer name="Sales_Channel" xr10:uid="{339104E3-7661-40F6-BC15-6E6E0679D960}" cache="Slicer_Sales_Channel" caption="Sales_Channel" columnCount="2" rowHeight="234950"/>
  <slicer name="Product_Category" xr10:uid="{5A431487-AFB1-43D0-B3B0-B1EC476943FB}"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12D1C-AABD-4E55-9DBE-1F76A527E061}" name="Table2" displayName="Table2" ref="A1:N1001" totalsRowShown="0">
  <autoFilter ref="A1:N1001" xr:uid="{38D12D1C-AABD-4E55-9DBE-1F76A527E061}"/>
  <sortState xmlns:xlrd2="http://schemas.microsoft.com/office/spreadsheetml/2017/richdata2" ref="A2:N1001">
    <sortCondition ref="A1:A1001"/>
  </sortState>
  <tableColumns count="14">
    <tableColumn id="2" xr3:uid="{3ACDDC57-9014-4B1D-B697-5364BEC6A6AF}" name="Sale_Date" dataDxfId="57"/>
    <tableColumn id="19" xr3:uid="{D18049D2-B280-4335-A117-A89871E5DA96}" name="month" dataDxfId="53">
      <calculatedColumnFormula>TEXT(A2,"MMM")</calculatedColumnFormula>
    </tableColumn>
    <tableColumn id="18" xr3:uid="{A2C97496-84BE-4E6B-9BEB-4E6A75895A23}" name="year" dataDxfId="56">
      <calculatedColumnFormula>TEXT(A2,"YYYY")</calculatedColumnFormula>
    </tableColumn>
    <tableColumn id="3" xr3:uid="{AC29FF4A-17F0-4E52-92D9-9BFEE3F68CC5}" name="Sales_Rep"/>
    <tableColumn id="4" xr3:uid="{32D358E1-C175-411F-A270-D72B9DCB56B8}" name="Region"/>
    <tableColumn id="7" xr3:uid="{AE02BDB9-55ED-4EC6-BA40-77C6A454277F}" name="Product_Category"/>
    <tableColumn id="8" xr3:uid="{FE408D3A-90A6-49EE-8445-26F95DAD775E}" name="Unit_Cost"/>
    <tableColumn id="9" xr3:uid="{8FD3EAB9-D64B-406A-BAC4-650F594FBBED}" name="Unit_Price"/>
    <tableColumn id="6" xr3:uid="{D37C0120-E444-44FD-BD41-9B05D0CA55CC}" name="Quantity_Sold"/>
    <tableColumn id="17" xr3:uid="{DED65CFE-1E5E-4C5D-A87F-806C16BF0BE5}" name="TOTAL_REVENUE" dataDxfId="55">
      <calculatedColumnFormula>(I2*H2)</calculatedColumnFormula>
    </tableColumn>
    <tableColumn id="20" xr3:uid="{D16B8E36-CCFE-4831-B7C9-3839464CF145}" name="Total_profit" dataDxfId="54">
      <calculatedColumnFormula>(H2-G2)*I2</calculatedColumnFormula>
    </tableColumn>
    <tableColumn id="10" xr3:uid="{6DCC543D-3245-49A5-83C3-C0052E10E006}" name="Customer_Type"/>
    <tableColumn id="12" xr3:uid="{2F450EA3-EF1C-4289-B9F0-1728750EF4C4}" name="Payment_Method"/>
    <tableColumn id="13" xr3:uid="{70C92BEF-888C-49F3-8FEA-E20CC3F166CF}" name="Sales_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8A6E-CC14-4990-9D7B-2E1E3EE048A3}">
  <dimension ref="A1:N1001"/>
  <sheetViews>
    <sheetView zoomScaleNormal="100" workbookViewId="0">
      <selection activeCell="E22" sqref="A1:N1001"/>
    </sheetView>
  </sheetViews>
  <sheetFormatPr defaultRowHeight="14.4" x14ac:dyDescent="0.3"/>
  <cols>
    <col min="2" max="2" width="10.33203125" bestFit="1" customWidth="1"/>
    <col min="14" max="14" width="20"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B7A5-AF01-42D8-ACF4-6F4C1FB36712}">
  <dimension ref="A1:N1001"/>
  <sheetViews>
    <sheetView topLeftCell="A2" workbookViewId="0">
      <selection activeCell="F11" sqref="F11"/>
    </sheetView>
  </sheetViews>
  <sheetFormatPr defaultRowHeight="14.4" x14ac:dyDescent="0.3"/>
  <cols>
    <col min="1" max="3" width="11.21875" customWidth="1"/>
    <col min="4" max="4" width="11.33203125" customWidth="1"/>
    <col min="6" max="6" width="14.88671875" customWidth="1"/>
    <col min="7" max="7" width="18.109375" customWidth="1"/>
    <col min="8" max="8" width="11.109375" customWidth="1"/>
    <col min="9" max="9" width="15.33203125" bestFit="1" customWidth="1"/>
    <col min="10" max="11" width="15.33203125" customWidth="1"/>
    <col min="12" max="12" width="16.109375" customWidth="1"/>
    <col min="13" max="13" width="18.21875" customWidth="1"/>
    <col min="14" max="14" width="15" customWidth="1"/>
  </cols>
  <sheetData>
    <row r="1" spans="1:14" x14ac:dyDescent="0.3">
      <c r="A1" t="s">
        <v>1</v>
      </c>
      <c r="B1" t="s">
        <v>54</v>
      </c>
      <c r="C1" t="s">
        <v>55</v>
      </c>
      <c r="D1" t="s">
        <v>2</v>
      </c>
      <c r="E1" t="s">
        <v>3</v>
      </c>
      <c r="F1" t="s">
        <v>6</v>
      </c>
      <c r="G1" t="s">
        <v>7</v>
      </c>
      <c r="H1" t="s">
        <v>8</v>
      </c>
      <c r="I1" t="s">
        <v>5</v>
      </c>
      <c r="J1" t="s">
        <v>56</v>
      </c>
      <c r="K1" t="s">
        <v>57</v>
      </c>
      <c r="L1" t="s">
        <v>9</v>
      </c>
      <c r="M1" t="s">
        <v>11</v>
      </c>
      <c r="N1" t="s">
        <v>12</v>
      </c>
    </row>
    <row r="2" spans="1:14" x14ac:dyDescent="0.3">
      <c r="A2" s="1">
        <v>44927</v>
      </c>
      <c r="B2" s="1" t="str">
        <f t="shared" ref="B2:B65" si="0">TEXT(A2,"MMM")</f>
        <v>Jan</v>
      </c>
      <c r="C2" s="1" t="str">
        <f t="shared" ref="C2:C65" si="1">TEXT(A2,"YYYY")</f>
        <v>2023</v>
      </c>
      <c r="D2" t="s">
        <v>38</v>
      </c>
      <c r="E2" t="s">
        <v>15</v>
      </c>
      <c r="F2" t="s">
        <v>29</v>
      </c>
      <c r="G2">
        <v>4635.2299999999996</v>
      </c>
      <c r="H2">
        <v>5075.4399999999996</v>
      </c>
      <c r="I2">
        <v>38</v>
      </c>
      <c r="J2">
        <f t="shared" ref="J2:J65" si="2">(I2*H2)</f>
        <v>192866.71999999997</v>
      </c>
      <c r="K2">
        <f t="shared" ref="K2:K65" si="3">(H2-G2)*I2</f>
        <v>16727.980000000003</v>
      </c>
      <c r="L2" t="s">
        <v>17</v>
      </c>
      <c r="M2" t="s">
        <v>18</v>
      </c>
      <c r="N2" t="s">
        <v>19</v>
      </c>
    </row>
    <row r="3" spans="1:14" x14ac:dyDescent="0.3">
      <c r="A3" s="1">
        <v>44927</v>
      </c>
      <c r="B3" s="1" t="str">
        <f t="shared" si="0"/>
        <v>Jan</v>
      </c>
      <c r="C3" s="1" t="str">
        <f t="shared" si="1"/>
        <v>2023</v>
      </c>
      <c r="D3" t="s">
        <v>38</v>
      </c>
      <c r="E3" t="s">
        <v>25</v>
      </c>
      <c r="F3" t="s">
        <v>16</v>
      </c>
      <c r="G3">
        <v>664.33</v>
      </c>
      <c r="H3">
        <v>863.03</v>
      </c>
      <c r="I3">
        <v>12</v>
      </c>
      <c r="J3">
        <f t="shared" si="2"/>
        <v>10356.36</v>
      </c>
      <c r="K3">
        <f t="shared" si="3"/>
        <v>2384.3999999999992</v>
      </c>
      <c r="L3" t="s">
        <v>17</v>
      </c>
      <c r="M3" t="s">
        <v>27</v>
      </c>
      <c r="N3" t="s">
        <v>22</v>
      </c>
    </row>
    <row r="4" spans="1:14" x14ac:dyDescent="0.3">
      <c r="A4" s="1">
        <v>44927</v>
      </c>
      <c r="B4" s="1" t="str">
        <f t="shared" si="0"/>
        <v>Jan</v>
      </c>
      <c r="C4" s="1" t="str">
        <f t="shared" si="1"/>
        <v>2023</v>
      </c>
      <c r="D4" t="s">
        <v>33</v>
      </c>
      <c r="E4" t="s">
        <v>15</v>
      </c>
      <c r="F4" t="s">
        <v>29</v>
      </c>
      <c r="G4">
        <v>4071.01</v>
      </c>
      <c r="H4">
        <v>4304.7</v>
      </c>
      <c r="I4">
        <v>35</v>
      </c>
      <c r="J4">
        <f t="shared" si="2"/>
        <v>150664.5</v>
      </c>
      <c r="K4">
        <f t="shared" si="3"/>
        <v>8179.149999999986</v>
      </c>
      <c r="L4" t="s">
        <v>30</v>
      </c>
      <c r="M4" t="s">
        <v>31</v>
      </c>
      <c r="N4" t="s">
        <v>19</v>
      </c>
    </row>
    <row r="5" spans="1:14" x14ac:dyDescent="0.3">
      <c r="A5" s="1">
        <v>44928</v>
      </c>
      <c r="B5" s="1" t="str">
        <f t="shared" si="0"/>
        <v>Jan</v>
      </c>
      <c r="C5" s="1" t="str">
        <f t="shared" si="1"/>
        <v>2023</v>
      </c>
      <c r="D5" t="s">
        <v>24</v>
      </c>
      <c r="E5" t="s">
        <v>25</v>
      </c>
      <c r="F5" t="s">
        <v>35</v>
      </c>
      <c r="G5">
        <v>2242.0100000000002</v>
      </c>
      <c r="H5">
        <v>2282.23</v>
      </c>
      <c r="I5">
        <v>10</v>
      </c>
      <c r="J5">
        <f t="shared" si="2"/>
        <v>22822.3</v>
      </c>
      <c r="K5">
        <f t="shared" si="3"/>
        <v>402.199999999998</v>
      </c>
      <c r="L5" t="s">
        <v>17</v>
      </c>
      <c r="M5" t="s">
        <v>31</v>
      </c>
      <c r="N5" t="s">
        <v>19</v>
      </c>
    </row>
    <row r="6" spans="1:14" x14ac:dyDescent="0.3">
      <c r="A6" s="1">
        <v>44928</v>
      </c>
      <c r="B6" s="1" t="str">
        <f t="shared" si="0"/>
        <v>Jan</v>
      </c>
      <c r="C6" s="1" t="str">
        <f t="shared" si="1"/>
        <v>2023</v>
      </c>
      <c r="D6" t="s">
        <v>24</v>
      </c>
      <c r="E6" t="s">
        <v>21</v>
      </c>
      <c r="F6" t="s">
        <v>35</v>
      </c>
      <c r="G6">
        <v>4535.38</v>
      </c>
      <c r="H6">
        <v>4557.5600000000004</v>
      </c>
      <c r="I6">
        <v>26</v>
      </c>
      <c r="J6">
        <f t="shared" si="2"/>
        <v>118496.56000000001</v>
      </c>
      <c r="K6">
        <f t="shared" si="3"/>
        <v>576.68000000000757</v>
      </c>
      <c r="L6" t="s">
        <v>30</v>
      </c>
      <c r="M6" t="s">
        <v>31</v>
      </c>
      <c r="N6" t="s">
        <v>19</v>
      </c>
    </row>
    <row r="7" spans="1:14" x14ac:dyDescent="0.3">
      <c r="A7" s="1">
        <v>44929</v>
      </c>
      <c r="B7" s="1" t="str">
        <f t="shared" si="0"/>
        <v>Jan</v>
      </c>
      <c r="C7" s="1" t="str">
        <f t="shared" si="1"/>
        <v>2023</v>
      </c>
      <c r="D7" t="s">
        <v>14</v>
      </c>
      <c r="E7" t="s">
        <v>34</v>
      </c>
      <c r="F7" t="s">
        <v>16</v>
      </c>
      <c r="G7">
        <v>745.93</v>
      </c>
      <c r="H7">
        <v>1143.02</v>
      </c>
      <c r="I7">
        <v>30</v>
      </c>
      <c r="J7">
        <f t="shared" si="2"/>
        <v>34290.6</v>
      </c>
      <c r="K7">
        <f t="shared" si="3"/>
        <v>11912.7</v>
      </c>
      <c r="L7" t="s">
        <v>17</v>
      </c>
      <c r="M7" t="s">
        <v>31</v>
      </c>
      <c r="N7" t="s">
        <v>19</v>
      </c>
    </row>
    <row r="8" spans="1:14" x14ac:dyDescent="0.3">
      <c r="A8" s="1">
        <v>44929</v>
      </c>
      <c r="B8" s="1" t="str">
        <f t="shared" si="0"/>
        <v>Jan</v>
      </c>
      <c r="C8" s="1" t="str">
        <f t="shared" si="1"/>
        <v>2023</v>
      </c>
      <c r="D8" t="s">
        <v>33</v>
      </c>
      <c r="E8" t="s">
        <v>34</v>
      </c>
      <c r="F8" t="s">
        <v>16</v>
      </c>
      <c r="G8">
        <v>3625.94</v>
      </c>
      <c r="H8">
        <v>3880.53</v>
      </c>
      <c r="I8">
        <v>20</v>
      </c>
      <c r="J8">
        <f t="shared" si="2"/>
        <v>77610.600000000006</v>
      </c>
      <c r="K8">
        <f t="shared" si="3"/>
        <v>5091.8000000000029</v>
      </c>
      <c r="L8" t="s">
        <v>30</v>
      </c>
      <c r="M8" t="s">
        <v>27</v>
      </c>
      <c r="N8" t="s">
        <v>19</v>
      </c>
    </row>
    <row r="9" spans="1:14" x14ac:dyDescent="0.3">
      <c r="A9" s="1">
        <v>44929</v>
      </c>
      <c r="B9" s="1" t="str">
        <f t="shared" si="0"/>
        <v>Jan</v>
      </c>
      <c r="C9" s="1" t="str">
        <f t="shared" si="1"/>
        <v>2023</v>
      </c>
      <c r="D9" t="s">
        <v>14</v>
      </c>
      <c r="E9" t="s">
        <v>34</v>
      </c>
      <c r="F9" t="s">
        <v>16</v>
      </c>
      <c r="G9">
        <v>4632.8500000000004</v>
      </c>
      <c r="H9">
        <v>4711.7</v>
      </c>
      <c r="I9">
        <v>31</v>
      </c>
      <c r="J9">
        <f t="shared" si="2"/>
        <v>146062.69999999998</v>
      </c>
      <c r="K9">
        <f t="shared" si="3"/>
        <v>2444.3499999999831</v>
      </c>
      <c r="L9" t="s">
        <v>30</v>
      </c>
      <c r="M9" t="s">
        <v>18</v>
      </c>
      <c r="N9" t="s">
        <v>22</v>
      </c>
    </row>
    <row r="10" spans="1:14" x14ac:dyDescent="0.3">
      <c r="A10" s="1">
        <v>44930</v>
      </c>
      <c r="B10" s="1" t="str">
        <f t="shared" si="0"/>
        <v>Jan</v>
      </c>
      <c r="C10" s="1" t="str">
        <f t="shared" si="1"/>
        <v>2023</v>
      </c>
      <c r="D10" t="s">
        <v>14</v>
      </c>
      <c r="E10" t="s">
        <v>34</v>
      </c>
      <c r="F10" t="s">
        <v>16</v>
      </c>
      <c r="G10">
        <v>1727.12</v>
      </c>
      <c r="H10">
        <v>1865.83</v>
      </c>
      <c r="I10">
        <v>17</v>
      </c>
      <c r="J10">
        <f t="shared" si="2"/>
        <v>31719.11</v>
      </c>
      <c r="K10">
        <f t="shared" si="3"/>
        <v>2358.0700000000006</v>
      </c>
      <c r="L10" t="s">
        <v>30</v>
      </c>
      <c r="M10" t="s">
        <v>18</v>
      </c>
      <c r="N10" t="s">
        <v>19</v>
      </c>
    </row>
    <row r="11" spans="1:14" x14ac:dyDescent="0.3">
      <c r="A11" s="1">
        <v>44930</v>
      </c>
      <c r="B11" s="1" t="str">
        <f t="shared" si="0"/>
        <v>Jan</v>
      </c>
      <c r="C11" s="1" t="str">
        <f t="shared" si="1"/>
        <v>2023</v>
      </c>
      <c r="D11" t="s">
        <v>38</v>
      </c>
      <c r="E11" t="s">
        <v>15</v>
      </c>
      <c r="F11" t="s">
        <v>35</v>
      </c>
      <c r="G11">
        <v>3686.81</v>
      </c>
      <c r="H11">
        <v>3710.92</v>
      </c>
      <c r="I11">
        <v>14</v>
      </c>
      <c r="J11">
        <f t="shared" si="2"/>
        <v>51952.880000000005</v>
      </c>
      <c r="K11">
        <f t="shared" si="3"/>
        <v>337.54000000000178</v>
      </c>
      <c r="L11" t="s">
        <v>30</v>
      </c>
      <c r="M11" t="s">
        <v>27</v>
      </c>
      <c r="N11" t="s">
        <v>22</v>
      </c>
    </row>
    <row r="12" spans="1:14" x14ac:dyDescent="0.3">
      <c r="A12" s="1">
        <v>44930</v>
      </c>
      <c r="B12" s="1" t="str">
        <f t="shared" si="0"/>
        <v>Jan</v>
      </c>
      <c r="C12" s="1" t="str">
        <f t="shared" si="1"/>
        <v>2023</v>
      </c>
      <c r="D12" t="s">
        <v>38</v>
      </c>
      <c r="E12" t="s">
        <v>34</v>
      </c>
      <c r="F12" t="s">
        <v>35</v>
      </c>
      <c r="G12">
        <v>4764.96</v>
      </c>
      <c r="H12">
        <v>5074.42</v>
      </c>
      <c r="I12">
        <v>10</v>
      </c>
      <c r="J12">
        <f t="shared" si="2"/>
        <v>50744.2</v>
      </c>
      <c r="K12">
        <f t="shared" si="3"/>
        <v>3094.6000000000004</v>
      </c>
      <c r="L12" t="s">
        <v>30</v>
      </c>
      <c r="M12" t="s">
        <v>18</v>
      </c>
      <c r="N12" t="s">
        <v>19</v>
      </c>
    </row>
    <row r="13" spans="1:14" x14ac:dyDescent="0.3">
      <c r="A13" s="1">
        <v>44930</v>
      </c>
      <c r="B13" s="1" t="str">
        <f t="shared" si="0"/>
        <v>Jan</v>
      </c>
      <c r="C13" s="1" t="str">
        <f t="shared" si="1"/>
        <v>2023</v>
      </c>
      <c r="D13" t="s">
        <v>38</v>
      </c>
      <c r="E13" t="s">
        <v>25</v>
      </c>
      <c r="F13" t="s">
        <v>16</v>
      </c>
      <c r="G13">
        <v>1394.74</v>
      </c>
      <c r="H13">
        <v>1848.69</v>
      </c>
      <c r="I13">
        <v>38</v>
      </c>
      <c r="J13">
        <f t="shared" si="2"/>
        <v>70250.22</v>
      </c>
      <c r="K13">
        <f t="shared" si="3"/>
        <v>17250.100000000002</v>
      </c>
      <c r="L13" t="s">
        <v>17</v>
      </c>
      <c r="M13" t="s">
        <v>27</v>
      </c>
      <c r="N13" t="s">
        <v>22</v>
      </c>
    </row>
    <row r="14" spans="1:14" x14ac:dyDescent="0.3">
      <c r="A14" s="1">
        <v>44930</v>
      </c>
      <c r="B14" s="1" t="str">
        <f t="shared" si="0"/>
        <v>Jan</v>
      </c>
      <c r="C14" s="1" t="str">
        <f t="shared" si="1"/>
        <v>2023</v>
      </c>
      <c r="D14" t="s">
        <v>14</v>
      </c>
      <c r="E14" t="s">
        <v>25</v>
      </c>
      <c r="F14" t="s">
        <v>16</v>
      </c>
      <c r="G14">
        <v>1569.31</v>
      </c>
      <c r="H14">
        <v>1798.02</v>
      </c>
      <c r="I14">
        <v>8</v>
      </c>
      <c r="J14">
        <f t="shared" si="2"/>
        <v>14384.16</v>
      </c>
      <c r="K14">
        <f t="shared" si="3"/>
        <v>1829.6800000000003</v>
      </c>
      <c r="L14" t="s">
        <v>30</v>
      </c>
      <c r="M14" t="s">
        <v>31</v>
      </c>
      <c r="N14" t="s">
        <v>19</v>
      </c>
    </row>
    <row r="15" spans="1:14" x14ac:dyDescent="0.3">
      <c r="A15" s="1">
        <v>44930</v>
      </c>
      <c r="B15" s="1" t="str">
        <f t="shared" si="0"/>
        <v>Jan</v>
      </c>
      <c r="C15" s="1" t="str">
        <f t="shared" si="1"/>
        <v>2023</v>
      </c>
      <c r="D15" t="s">
        <v>38</v>
      </c>
      <c r="E15" t="s">
        <v>15</v>
      </c>
      <c r="F15" t="s">
        <v>16</v>
      </c>
      <c r="G15">
        <v>4037.21</v>
      </c>
      <c r="H15">
        <v>4323.71</v>
      </c>
      <c r="I15">
        <v>14</v>
      </c>
      <c r="J15">
        <f t="shared" si="2"/>
        <v>60531.94</v>
      </c>
      <c r="K15">
        <f t="shared" si="3"/>
        <v>4011</v>
      </c>
      <c r="L15" t="s">
        <v>17</v>
      </c>
      <c r="M15" t="s">
        <v>31</v>
      </c>
      <c r="N15" t="s">
        <v>19</v>
      </c>
    </row>
    <row r="16" spans="1:14" x14ac:dyDescent="0.3">
      <c r="A16" s="1">
        <v>44931</v>
      </c>
      <c r="B16" s="1" t="str">
        <f t="shared" si="0"/>
        <v>Jan</v>
      </c>
      <c r="C16" s="1" t="str">
        <f t="shared" si="1"/>
        <v>2023</v>
      </c>
      <c r="D16" t="s">
        <v>42</v>
      </c>
      <c r="E16" t="s">
        <v>34</v>
      </c>
      <c r="F16" t="s">
        <v>29</v>
      </c>
      <c r="G16">
        <v>575.32000000000005</v>
      </c>
      <c r="H16">
        <v>914.77</v>
      </c>
      <c r="I16">
        <v>2</v>
      </c>
      <c r="J16">
        <f t="shared" si="2"/>
        <v>1829.54</v>
      </c>
      <c r="K16">
        <f t="shared" si="3"/>
        <v>678.89999999999986</v>
      </c>
      <c r="L16" t="s">
        <v>17</v>
      </c>
      <c r="M16" t="s">
        <v>27</v>
      </c>
      <c r="N16" t="s">
        <v>19</v>
      </c>
    </row>
    <row r="17" spans="1:14" x14ac:dyDescent="0.3">
      <c r="A17" s="1">
        <v>44931</v>
      </c>
      <c r="B17" s="1" t="str">
        <f t="shared" si="0"/>
        <v>Jan</v>
      </c>
      <c r="C17" s="1" t="str">
        <f t="shared" si="1"/>
        <v>2023</v>
      </c>
      <c r="D17" t="s">
        <v>14</v>
      </c>
      <c r="E17" t="s">
        <v>15</v>
      </c>
      <c r="F17" t="s">
        <v>29</v>
      </c>
      <c r="G17">
        <v>3451.59</v>
      </c>
      <c r="H17">
        <v>3929.26</v>
      </c>
      <c r="I17">
        <v>11</v>
      </c>
      <c r="J17">
        <f t="shared" si="2"/>
        <v>43221.86</v>
      </c>
      <c r="K17">
        <f t="shared" si="3"/>
        <v>5254.3700000000008</v>
      </c>
      <c r="L17" t="s">
        <v>30</v>
      </c>
      <c r="M17" t="s">
        <v>31</v>
      </c>
      <c r="N17" t="s">
        <v>22</v>
      </c>
    </row>
    <row r="18" spans="1:14" x14ac:dyDescent="0.3">
      <c r="A18" s="1">
        <v>44931</v>
      </c>
      <c r="B18" s="1" t="str">
        <f t="shared" si="0"/>
        <v>Jan</v>
      </c>
      <c r="C18" s="1" t="str">
        <f t="shared" si="1"/>
        <v>2023</v>
      </c>
      <c r="D18" t="s">
        <v>14</v>
      </c>
      <c r="E18" t="s">
        <v>25</v>
      </c>
      <c r="F18" t="s">
        <v>26</v>
      </c>
      <c r="G18">
        <v>618.79</v>
      </c>
      <c r="H18">
        <v>938.04</v>
      </c>
      <c r="I18">
        <v>44</v>
      </c>
      <c r="J18">
        <f t="shared" si="2"/>
        <v>41273.759999999995</v>
      </c>
      <c r="K18">
        <f t="shared" si="3"/>
        <v>14047</v>
      </c>
      <c r="L18" t="s">
        <v>17</v>
      </c>
      <c r="M18" t="s">
        <v>18</v>
      </c>
      <c r="N18" t="s">
        <v>19</v>
      </c>
    </row>
    <row r="19" spans="1:14" x14ac:dyDescent="0.3">
      <c r="A19" s="1">
        <v>44932</v>
      </c>
      <c r="B19" s="1" t="str">
        <f t="shared" si="0"/>
        <v>Jan</v>
      </c>
      <c r="C19" s="1" t="str">
        <f t="shared" si="1"/>
        <v>2023</v>
      </c>
      <c r="D19" t="s">
        <v>38</v>
      </c>
      <c r="E19" t="s">
        <v>34</v>
      </c>
      <c r="F19" t="s">
        <v>29</v>
      </c>
      <c r="G19">
        <v>4756.55</v>
      </c>
      <c r="H19">
        <v>4888.46</v>
      </c>
      <c r="I19">
        <v>15</v>
      </c>
      <c r="J19">
        <f t="shared" si="2"/>
        <v>73326.899999999994</v>
      </c>
      <c r="K19">
        <f t="shared" si="3"/>
        <v>1978.6499999999978</v>
      </c>
      <c r="L19" t="s">
        <v>30</v>
      </c>
      <c r="M19" t="s">
        <v>31</v>
      </c>
      <c r="N19" t="s">
        <v>19</v>
      </c>
    </row>
    <row r="20" spans="1:14" x14ac:dyDescent="0.3">
      <c r="A20" s="1">
        <v>44932</v>
      </c>
      <c r="B20" s="1" t="str">
        <f t="shared" si="0"/>
        <v>Jan</v>
      </c>
      <c r="C20" s="1" t="str">
        <f t="shared" si="1"/>
        <v>2023</v>
      </c>
      <c r="D20" t="s">
        <v>38</v>
      </c>
      <c r="E20" t="s">
        <v>25</v>
      </c>
      <c r="F20" t="s">
        <v>16</v>
      </c>
      <c r="G20">
        <v>3702.51</v>
      </c>
      <c r="H20">
        <v>3964.65</v>
      </c>
      <c r="I20">
        <v>46</v>
      </c>
      <c r="J20">
        <f t="shared" si="2"/>
        <v>182373.9</v>
      </c>
      <c r="K20">
        <f t="shared" si="3"/>
        <v>12058.439999999995</v>
      </c>
      <c r="L20" t="s">
        <v>30</v>
      </c>
      <c r="M20" t="s">
        <v>27</v>
      </c>
      <c r="N20" t="s">
        <v>19</v>
      </c>
    </row>
    <row r="21" spans="1:14" x14ac:dyDescent="0.3">
      <c r="A21" s="1">
        <v>44933</v>
      </c>
      <c r="B21" s="1" t="str">
        <f t="shared" si="0"/>
        <v>Jan</v>
      </c>
      <c r="C21" s="1" t="str">
        <f t="shared" si="1"/>
        <v>2023</v>
      </c>
      <c r="D21" t="s">
        <v>14</v>
      </c>
      <c r="E21" t="s">
        <v>15</v>
      </c>
      <c r="F21" t="s">
        <v>16</v>
      </c>
      <c r="G21">
        <v>3365.28</v>
      </c>
      <c r="H21">
        <v>3730.43</v>
      </c>
      <c r="I21">
        <v>9</v>
      </c>
      <c r="J21">
        <f t="shared" si="2"/>
        <v>33573.869999999995</v>
      </c>
      <c r="K21">
        <f t="shared" si="3"/>
        <v>3286.3499999999967</v>
      </c>
      <c r="L21" t="s">
        <v>30</v>
      </c>
      <c r="M21" t="s">
        <v>27</v>
      </c>
      <c r="N21" t="s">
        <v>19</v>
      </c>
    </row>
    <row r="22" spans="1:14" x14ac:dyDescent="0.3">
      <c r="A22" s="1">
        <v>44933</v>
      </c>
      <c r="B22" s="1" t="str">
        <f t="shared" si="0"/>
        <v>Jan</v>
      </c>
      <c r="C22" s="1" t="str">
        <f t="shared" si="1"/>
        <v>2023</v>
      </c>
      <c r="D22" t="s">
        <v>24</v>
      </c>
      <c r="E22" t="s">
        <v>21</v>
      </c>
      <c r="F22" t="s">
        <v>16</v>
      </c>
      <c r="G22">
        <v>137.47</v>
      </c>
      <c r="H22">
        <v>234.63</v>
      </c>
      <c r="I22">
        <v>28</v>
      </c>
      <c r="J22">
        <f t="shared" si="2"/>
        <v>6569.6399999999994</v>
      </c>
      <c r="K22">
        <f t="shared" si="3"/>
        <v>2720.48</v>
      </c>
      <c r="L22" t="s">
        <v>30</v>
      </c>
      <c r="M22" t="s">
        <v>27</v>
      </c>
      <c r="N22" t="s">
        <v>22</v>
      </c>
    </row>
    <row r="23" spans="1:14" x14ac:dyDescent="0.3">
      <c r="A23" s="1">
        <v>44933</v>
      </c>
      <c r="B23" s="1" t="str">
        <f t="shared" si="0"/>
        <v>Jan</v>
      </c>
      <c r="C23" s="1" t="str">
        <f t="shared" si="1"/>
        <v>2023</v>
      </c>
      <c r="D23" t="s">
        <v>38</v>
      </c>
      <c r="E23" t="s">
        <v>15</v>
      </c>
      <c r="F23" t="s">
        <v>29</v>
      </c>
      <c r="G23">
        <v>2019.9</v>
      </c>
      <c r="H23">
        <v>2116.7399999999998</v>
      </c>
      <c r="I23">
        <v>6</v>
      </c>
      <c r="J23">
        <f t="shared" si="2"/>
        <v>12700.439999999999</v>
      </c>
      <c r="K23">
        <f t="shared" si="3"/>
        <v>581.03999999999814</v>
      </c>
      <c r="L23" t="s">
        <v>30</v>
      </c>
      <c r="M23" t="s">
        <v>31</v>
      </c>
      <c r="N23" t="s">
        <v>19</v>
      </c>
    </row>
    <row r="24" spans="1:14" x14ac:dyDescent="0.3">
      <c r="A24" s="1">
        <v>44933</v>
      </c>
      <c r="B24" s="1" t="str">
        <f t="shared" si="0"/>
        <v>Jan</v>
      </c>
      <c r="C24" s="1" t="str">
        <f t="shared" si="1"/>
        <v>2023</v>
      </c>
      <c r="D24" t="s">
        <v>42</v>
      </c>
      <c r="E24" t="s">
        <v>34</v>
      </c>
      <c r="F24" t="s">
        <v>26</v>
      </c>
      <c r="G24">
        <v>1768.6</v>
      </c>
      <c r="H24">
        <v>2152.1999999999998</v>
      </c>
      <c r="I24">
        <v>6</v>
      </c>
      <c r="J24">
        <f t="shared" si="2"/>
        <v>12913.199999999999</v>
      </c>
      <c r="K24">
        <f t="shared" si="3"/>
        <v>2301.5999999999995</v>
      </c>
      <c r="L24" t="s">
        <v>30</v>
      </c>
      <c r="M24" t="s">
        <v>27</v>
      </c>
      <c r="N24" t="s">
        <v>22</v>
      </c>
    </row>
    <row r="25" spans="1:14" x14ac:dyDescent="0.3">
      <c r="A25" s="1">
        <v>44933</v>
      </c>
      <c r="B25" s="1" t="str">
        <f t="shared" si="0"/>
        <v>Jan</v>
      </c>
      <c r="C25" s="1" t="str">
        <f t="shared" si="1"/>
        <v>2023</v>
      </c>
      <c r="D25" t="s">
        <v>38</v>
      </c>
      <c r="E25" t="s">
        <v>21</v>
      </c>
      <c r="F25" t="s">
        <v>26</v>
      </c>
      <c r="G25">
        <v>472.08</v>
      </c>
      <c r="H25">
        <v>842.46</v>
      </c>
      <c r="I25">
        <v>16</v>
      </c>
      <c r="J25">
        <f t="shared" si="2"/>
        <v>13479.36</v>
      </c>
      <c r="K25">
        <f t="shared" si="3"/>
        <v>5926.0800000000008</v>
      </c>
      <c r="L25" t="s">
        <v>30</v>
      </c>
      <c r="M25" t="s">
        <v>18</v>
      </c>
      <c r="N25" t="s">
        <v>22</v>
      </c>
    </row>
    <row r="26" spans="1:14" x14ac:dyDescent="0.3">
      <c r="A26" s="1">
        <v>44934</v>
      </c>
      <c r="B26" s="1" t="str">
        <f t="shared" si="0"/>
        <v>Jan</v>
      </c>
      <c r="C26" s="1" t="str">
        <f t="shared" si="1"/>
        <v>2023</v>
      </c>
      <c r="D26" t="s">
        <v>38</v>
      </c>
      <c r="E26" t="s">
        <v>25</v>
      </c>
      <c r="F26" t="s">
        <v>35</v>
      </c>
      <c r="G26">
        <v>1054.1199999999999</v>
      </c>
      <c r="H26">
        <v>1175.21999999999</v>
      </c>
      <c r="I26">
        <v>4</v>
      </c>
      <c r="J26">
        <f t="shared" si="2"/>
        <v>4700.8799999999601</v>
      </c>
      <c r="K26">
        <f t="shared" si="3"/>
        <v>484.39999999996053</v>
      </c>
      <c r="L26" t="s">
        <v>17</v>
      </c>
      <c r="M26" t="s">
        <v>27</v>
      </c>
      <c r="N26" t="s">
        <v>22</v>
      </c>
    </row>
    <row r="27" spans="1:14" x14ac:dyDescent="0.3">
      <c r="A27" s="1">
        <v>44934</v>
      </c>
      <c r="B27" s="1" t="str">
        <f t="shared" si="0"/>
        <v>Jan</v>
      </c>
      <c r="C27" s="1" t="str">
        <f t="shared" si="1"/>
        <v>2023</v>
      </c>
      <c r="D27" t="s">
        <v>24</v>
      </c>
      <c r="E27" t="s">
        <v>34</v>
      </c>
      <c r="F27" t="s">
        <v>26</v>
      </c>
      <c r="G27">
        <v>864.77</v>
      </c>
      <c r="H27">
        <v>1170.1599999999901</v>
      </c>
      <c r="I27">
        <v>36</v>
      </c>
      <c r="J27">
        <f t="shared" si="2"/>
        <v>42125.759999999646</v>
      </c>
      <c r="K27">
        <f t="shared" si="3"/>
        <v>10994.039999999644</v>
      </c>
      <c r="L27" t="s">
        <v>17</v>
      </c>
      <c r="M27" t="s">
        <v>18</v>
      </c>
      <c r="N27" t="s">
        <v>22</v>
      </c>
    </row>
    <row r="28" spans="1:14" x14ac:dyDescent="0.3">
      <c r="A28" s="1">
        <v>44935</v>
      </c>
      <c r="B28" s="1" t="str">
        <f t="shared" si="0"/>
        <v>Jan</v>
      </c>
      <c r="C28" s="1" t="str">
        <f t="shared" si="1"/>
        <v>2023</v>
      </c>
      <c r="D28" t="s">
        <v>33</v>
      </c>
      <c r="E28" t="s">
        <v>15</v>
      </c>
      <c r="F28" t="s">
        <v>29</v>
      </c>
      <c r="G28">
        <v>4965.07</v>
      </c>
      <c r="H28">
        <v>5243.13</v>
      </c>
      <c r="I28">
        <v>41</v>
      </c>
      <c r="J28">
        <f t="shared" si="2"/>
        <v>214968.33000000002</v>
      </c>
      <c r="K28">
        <f t="shared" si="3"/>
        <v>11400.460000000017</v>
      </c>
      <c r="L28" t="s">
        <v>30</v>
      </c>
      <c r="M28" t="s">
        <v>31</v>
      </c>
      <c r="N28" t="s">
        <v>19</v>
      </c>
    </row>
    <row r="29" spans="1:14" x14ac:dyDescent="0.3">
      <c r="A29" s="1">
        <v>44935</v>
      </c>
      <c r="B29" s="1" t="str">
        <f t="shared" si="0"/>
        <v>Jan</v>
      </c>
      <c r="C29" s="1" t="str">
        <f t="shared" si="1"/>
        <v>2023</v>
      </c>
      <c r="D29" t="s">
        <v>24</v>
      </c>
      <c r="E29" t="s">
        <v>25</v>
      </c>
      <c r="F29" t="s">
        <v>16</v>
      </c>
      <c r="G29">
        <v>2598.1799999999998</v>
      </c>
      <c r="H29">
        <v>3042.73</v>
      </c>
      <c r="I29">
        <v>23</v>
      </c>
      <c r="J29">
        <f t="shared" si="2"/>
        <v>69982.789999999994</v>
      </c>
      <c r="K29">
        <f t="shared" si="3"/>
        <v>10224.650000000005</v>
      </c>
      <c r="L29" t="s">
        <v>17</v>
      </c>
      <c r="M29" t="s">
        <v>31</v>
      </c>
      <c r="N29" t="s">
        <v>19</v>
      </c>
    </row>
    <row r="30" spans="1:14" x14ac:dyDescent="0.3">
      <c r="A30" s="1">
        <v>44935</v>
      </c>
      <c r="B30" s="1" t="str">
        <f t="shared" si="0"/>
        <v>Jan</v>
      </c>
      <c r="C30" s="1" t="str">
        <f t="shared" si="1"/>
        <v>2023</v>
      </c>
      <c r="D30" t="s">
        <v>33</v>
      </c>
      <c r="E30" t="s">
        <v>15</v>
      </c>
      <c r="F30" t="s">
        <v>16</v>
      </c>
      <c r="G30">
        <v>639.16</v>
      </c>
      <c r="H30">
        <v>746.28</v>
      </c>
      <c r="I30">
        <v>12</v>
      </c>
      <c r="J30">
        <f t="shared" si="2"/>
        <v>8955.36</v>
      </c>
      <c r="K30">
        <f t="shared" si="3"/>
        <v>1285.44</v>
      </c>
      <c r="L30" t="s">
        <v>17</v>
      </c>
      <c r="M30" t="s">
        <v>27</v>
      </c>
      <c r="N30" t="s">
        <v>22</v>
      </c>
    </row>
    <row r="31" spans="1:14" x14ac:dyDescent="0.3">
      <c r="A31" s="1">
        <v>44935</v>
      </c>
      <c r="B31" s="1" t="str">
        <f t="shared" si="0"/>
        <v>Jan</v>
      </c>
      <c r="C31" s="1" t="str">
        <f t="shared" si="1"/>
        <v>2023</v>
      </c>
      <c r="D31" t="s">
        <v>42</v>
      </c>
      <c r="E31" t="s">
        <v>15</v>
      </c>
      <c r="F31" t="s">
        <v>29</v>
      </c>
      <c r="G31">
        <v>2588.54</v>
      </c>
      <c r="H31">
        <v>2872.8</v>
      </c>
      <c r="I31">
        <v>48</v>
      </c>
      <c r="J31">
        <f t="shared" si="2"/>
        <v>137894.40000000002</v>
      </c>
      <c r="K31">
        <f t="shared" si="3"/>
        <v>13644.48000000001</v>
      </c>
      <c r="L31" t="s">
        <v>30</v>
      </c>
      <c r="M31" t="s">
        <v>18</v>
      </c>
      <c r="N31" t="s">
        <v>19</v>
      </c>
    </row>
    <row r="32" spans="1:14" x14ac:dyDescent="0.3">
      <c r="A32" s="1">
        <v>44935</v>
      </c>
      <c r="B32" s="1" t="str">
        <f t="shared" si="0"/>
        <v>Jan</v>
      </c>
      <c r="C32" s="1" t="str">
        <f t="shared" si="1"/>
        <v>2023</v>
      </c>
      <c r="D32" t="s">
        <v>33</v>
      </c>
      <c r="E32" t="s">
        <v>15</v>
      </c>
      <c r="F32" t="s">
        <v>35</v>
      </c>
      <c r="G32">
        <v>210.63</v>
      </c>
      <c r="H32">
        <v>533.57999999999902</v>
      </c>
      <c r="I32">
        <v>48</v>
      </c>
      <c r="J32">
        <f t="shared" si="2"/>
        <v>25611.839999999953</v>
      </c>
      <c r="K32">
        <f t="shared" si="3"/>
        <v>15501.599999999953</v>
      </c>
      <c r="L32" t="s">
        <v>30</v>
      </c>
      <c r="M32" t="s">
        <v>27</v>
      </c>
      <c r="N32" t="s">
        <v>19</v>
      </c>
    </row>
    <row r="33" spans="1:14" x14ac:dyDescent="0.3">
      <c r="A33" s="1">
        <v>44936</v>
      </c>
      <c r="B33" s="1" t="str">
        <f t="shared" si="0"/>
        <v>Jan</v>
      </c>
      <c r="C33" s="1" t="str">
        <f t="shared" si="1"/>
        <v>2023</v>
      </c>
      <c r="D33" t="s">
        <v>38</v>
      </c>
      <c r="E33" t="s">
        <v>25</v>
      </c>
      <c r="F33" t="s">
        <v>16</v>
      </c>
      <c r="G33">
        <v>2654.11</v>
      </c>
      <c r="H33">
        <v>2929.32</v>
      </c>
      <c r="I33">
        <v>40</v>
      </c>
      <c r="J33">
        <f t="shared" si="2"/>
        <v>117172.8</v>
      </c>
      <c r="K33">
        <f t="shared" si="3"/>
        <v>11008.400000000001</v>
      </c>
      <c r="L33" t="s">
        <v>17</v>
      </c>
      <c r="M33" t="s">
        <v>18</v>
      </c>
      <c r="N33" t="s">
        <v>19</v>
      </c>
    </row>
    <row r="34" spans="1:14" x14ac:dyDescent="0.3">
      <c r="A34" s="1">
        <v>44936</v>
      </c>
      <c r="B34" s="1" t="str">
        <f t="shared" si="0"/>
        <v>Jan</v>
      </c>
      <c r="C34" s="1" t="str">
        <f t="shared" si="1"/>
        <v>2023</v>
      </c>
      <c r="D34" t="s">
        <v>38</v>
      </c>
      <c r="E34" t="s">
        <v>15</v>
      </c>
      <c r="F34" t="s">
        <v>35</v>
      </c>
      <c r="G34">
        <v>1933.39</v>
      </c>
      <c r="H34">
        <v>1982.92</v>
      </c>
      <c r="I34">
        <v>25</v>
      </c>
      <c r="J34">
        <f t="shared" si="2"/>
        <v>49573</v>
      </c>
      <c r="K34">
        <f t="shared" si="3"/>
        <v>1238.2499999999993</v>
      </c>
      <c r="L34" t="s">
        <v>30</v>
      </c>
      <c r="M34" t="s">
        <v>27</v>
      </c>
      <c r="N34" t="s">
        <v>19</v>
      </c>
    </row>
    <row r="35" spans="1:14" x14ac:dyDescent="0.3">
      <c r="A35" s="1">
        <v>44937</v>
      </c>
      <c r="B35" s="1" t="str">
        <f t="shared" si="0"/>
        <v>Jan</v>
      </c>
      <c r="C35" s="1" t="str">
        <f t="shared" si="1"/>
        <v>2023</v>
      </c>
      <c r="D35" t="s">
        <v>38</v>
      </c>
      <c r="E35" t="s">
        <v>15</v>
      </c>
      <c r="F35" t="s">
        <v>26</v>
      </c>
      <c r="G35">
        <v>4762.87</v>
      </c>
      <c r="H35">
        <v>5050.46</v>
      </c>
      <c r="I35">
        <v>5</v>
      </c>
      <c r="J35">
        <f t="shared" si="2"/>
        <v>25252.3</v>
      </c>
      <c r="K35">
        <f t="shared" si="3"/>
        <v>1437.9500000000007</v>
      </c>
      <c r="L35" t="s">
        <v>30</v>
      </c>
      <c r="M35" t="s">
        <v>18</v>
      </c>
      <c r="N35" t="s">
        <v>22</v>
      </c>
    </row>
    <row r="36" spans="1:14" x14ac:dyDescent="0.3">
      <c r="A36" s="1">
        <v>44937</v>
      </c>
      <c r="B36" s="1" t="str">
        <f t="shared" si="0"/>
        <v>Jan</v>
      </c>
      <c r="C36" s="1" t="str">
        <f t="shared" si="1"/>
        <v>2023</v>
      </c>
      <c r="D36" t="s">
        <v>33</v>
      </c>
      <c r="E36" t="s">
        <v>21</v>
      </c>
      <c r="F36" t="s">
        <v>35</v>
      </c>
      <c r="G36">
        <v>4984.21</v>
      </c>
      <c r="H36">
        <v>5184.6400000000003</v>
      </c>
      <c r="I36">
        <v>34</v>
      </c>
      <c r="J36">
        <f t="shared" si="2"/>
        <v>176277.76000000001</v>
      </c>
      <c r="K36">
        <f t="shared" si="3"/>
        <v>6814.6200000000099</v>
      </c>
      <c r="L36" t="s">
        <v>30</v>
      </c>
      <c r="M36" t="s">
        <v>18</v>
      </c>
      <c r="N36" t="s">
        <v>19</v>
      </c>
    </row>
    <row r="37" spans="1:14" x14ac:dyDescent="0.3">
      <c r="A37" s="1">
        <v>44937</v>
      </c>
      <c r="B37" s="1" t="str">
        <f t="shared" si="0"/>
        <v>Jan</v>
      </c>
      <c r="C37" s="1" t="str">
        <f t="shared" si="1"/>
        <v>2023</v>
      </c>
      <c r="D37" t="s">
        <v>38</v>
      </c>
      <c r="E37" t="s">
        <v>15</v>
      </c>
      <c r="F37" t="s">
        <v>35</v>
      </c>
      <c r="G37">
        <v>585.37</v>
      </c>
      <c r="H37">
        <v>970.49</v>
      </c>
      <c r="I37">
        <v>35</v>
      </c>
      <c r="J37">
        <f t="shared" si="2"/>
        <v>33967.15</v>
      </c>
      <c r="K37">
        <f t="shared" si="3"/>
        <v>13479.2</v>
      </c>
      <c r="L37" t="s">
        <v>17</v>
      </c>
      <c r="M37" t="s">
        <v>27</v>
      </c>
      <c r="N37" t="s">
        <v>22</v>
      </c>
    </row>
    <row r="38" spans="1:14" x14ac:dyDescent="0.3">
      <c r="A38" s="1">
        <v>44937</v>
      </c>
      <c r="B38" s="1" t="str">
        <f t="shared" si="0"/>
        <v>Jan</v>
      </c>
      <c r="C38" s="1" t="str">
        <f t="shared" si="1"/>
        <v>2023</v>
      </c>
      <c r="D38" t="s">
        <v>14</v>
      </c>
      <c r="E38" t="s">
        <v>34</v>
      </c>
      <c r="F38" t="s">
        <v>29</v>
      </c>
      <c r="G38">
        <v>576.74</v>
      </c>
      <c r="H38">
        <v>648.29</v>
      </c>
      <c r="I38">
        <v>21</v>
      </c>
      <c r="J38">
        <f t="shared" si="2"/>
        <v>13614.09</v>
      </c>
      <c r="K38">
        <f t="shared" si="3"/>
        <v>1502.549999999999</v>
      </c>
      <c r="L38" t="s">
        <v>17</v>
      </c>
      <c r="M38" t="s">
        <v>27</v>
      </c>
      <c r="N38" t="s">
        <v>19</v>
      </c>
    </row>
    <row r="39" spans="1:14" x14ac:dyDescent="0.3">
      <c r="A39" s="1">
        <v>44937</v>
      </c>
      <c r="B39" s="1" t="str">
        <f t="shared" si="0"/>
        <v>Jan</v>
      </c>
      <c r="C39" s="1" t="str">
        <f t="shared" si="1"/>
        <v>2023</v>
      </c>
      <c r="D39" t="s">
        <v>42</v>
      </c>
      <c r="E39" t="s">
        <v>25</v>
      </c>
      <c r="F39" t="s">
        <v>26</v>
      </c>
      <c r="G39">
        <v>3884.13</v>
      </c>
      <c r="H39">
        <v>3915.41</v>
      </c>
      <c r="I39">
        <v>11</v>
      </c>
      <c r="J39">
        <f t="shared" si="2"/>
        <v>43069.509999999995</v>
      </c>
      <c r="K39">
        <f t="shared" si="3"/>
        <v>344.0799999999972</v>
      </c>
      <c r="L39" t="s">
        <v>17</v>
      </c>
      <c r="M39" t="s">
        <v>18</v>
      </c>
      <c r="N39" t="s">
        <v>19</v>
      </c>
    </row>
    <row r="40" spans="1:14" x14ac:dyDescent="0.3">
      <c r="A40" s="1">
        <v>44938</v>
      </c>
      <c r="B40" s="1" t="str">
        <f t="shared" si="0"/>
        <v>Jan</v>
      </c>
      <c r="C40" s="1" t="str">
        <f t="shared" si="1"/>
        <v>2023</v>
      </c>
      <c r="D40" t="s">
        <v>42</v>
      </c>
      <c r="E40" t="s">
        <v>21</v>
      </c>
      <c r="F40" t="s">
        <v>35</v>
      </c>
      <c r="G40">
        <v>1312.71</v>
      </c>
      <c r="H40">
        <v>1352.11</v>
      </c>
      <c r="I40">
        <v>35</v>
      </c>
      <c r="J40">
        <f t="shared" si="2"/>
        <v>47323.85</v>
      </c>
      <c r="K40">
        <f t="shared" si="3"/>
        <v>1378.9999999999952</v>
      </c>
      <c r="L40" t="s">
        <v>17</v>
      </c>
      <c r="M40" t="s">
        <v>27</v>
      </c>
      <c r="N40" t="s">
        <v>22</v>
      </c>
    </row>
    <row r="41" spans="1:14" x14ac:dyDescent="0.3">
      <c r="A41" s="1">
        <v>44938</v>
      </c>
      <c r="B41" s="1" t="str">
        <f t="shared" si="0"/>
        <v>Jan</v>
      </c>
      <c r="C41" s="1" t="str">
        <f t="shared" si="1"/>
        <v>2023</v>
      </c>
      <c r="D41" t="s">
        <v>38</v>
      </c>
      <c r="E41" t="s">
        <v>34</v>
      </c>
      <c r="F41" t="s">
        <v>26</v>
      </c>
      <c r="G41">
        <v>2312.4499999999998</v>
      </c>
      <c r="H41">
        <v>2504.6</v>
      </c>
      <c r="I41">
        <v>13</v>
      </c>
      <c r="J41">
        <f t="shared" si="2"/>
        <v>32559.8</v>
      </c>
      <c r="K41">
        <f t="shared" si="3"/>
        <v>2497.9500000000012</v>
      </c>
      <c r="L41" t="s">
        <v>17</v>
      </c>
      <c r="M41" t="s">
        <v>27</v>
      </c>
      <c r="N41" t="s">
        <v>19</v>
      </c>
    </row>
    <row r="42" spans="1:14" x14ac:dyDescent="0.3">
      <c r="A42" s="1">
        <v>44938</v>
      </c>
      <c r="B42" s="1" t="str">
        <f t="shared" si="0"/>
        <v>Jan</v>
      </c>
      <c r="C42" s="1" t="str">
        <f t="shared" si="1"/>
        <v>2023</v>
      </c>
      <c r="D42" t="s">
        <v>33</v>
      </c>
      <c r="E42" t="s">
        <v>25</v>
      </c>
      <c r="F42" t="s">
        <v>16</v>
      </c>
      <c r="G42">
        <v>3777.94</v>
      </c>
      <c r="H42">
        <v>4188.66</v>
      </c>
      <c r="I42">
        <v>35</v>
      </c>
      <c r="J42">
        <f t="shared" si="2"/>
        <v>146603.1</v>
      </c>
      <c r="K42">
        <f t="shared" si="3"/>
        <v>14375.199999999993</v>
      </c>
      <c r="L42" t="s">
        <v>30</v>
      </c>
      <c r="M42" t="s">
        <v>27</v>
      </c>
      <c r="N42" t="s">
        <v>19</v>
      </c>
    </row>
    <row r="43" spans="1:14" x14ac:dyDescent="0.3">
      <c r="A43" s="1">
        <v>44938</v>
      </c>
      <c r="B43" s="1" t="str">
        <f t="shared" si="0"/>
        <v>Jan</v>
      </c>
      <c r="C43" s="1" t="str">
        <f t="shared" si="1"/>
        <v>2023</v>
      </c>
      <c r="D43" t="s">
        <v>33</v>
      </c>
      <c r="E43" t="s">
        <v>34</v>
      </c>
      <c r="F43" t="s">
        <v>29</v>
      </c>
      <c r="G43">
        <v>702.44</v>
      </c>
      <c r="H43">
        <v>1067.6600000000001</v>
      </c>
      <c r="I43">
        <v>47</v>
      </c>
      <c r="J43">
        <f t="shared" si="2"/>
        <v>50180.020000000004</v>
      </c>
      <c r="K43">
        <f t="shared" si="3"/>
        <v>17165.34</v>
      </c>
      <c r="L43" t="s">
        <v>30</v>
      </c>
      <c r="M43" t="s">
        <v>18</v>
      </c>
      <c r="N43" t="s">
        <v>22</v>
      </c>
    </row>
    <row r="44" spans="1:14" x14ac:dyDescent="0.3">
      <c r="A44" s="1">
        <v>44938</v>
      </c>
      <c r="B44" s="1" t="str">
        <f t="shared" si="0"/>
        <v>Jan</v>
      </c>
      <c r="C44" s="1" t="str">
        <f t="shared" si="1"/>
        <v>2023</v>
      </c>
      <c r="D44" t="s">
        <v>38</v>
      </c>
      <c r="E44" t="s">
        <v>34</v>
      </c>
      <c r="F44" t="s">
        <v>26</v>
      </c>
      <c r="G44">
        <v>4548.88</v>
      </c>
      <c r="H44">
        <v>4853.41</v>
      </c>
      <c r="I44">
        <v>36</v>
      </c>
      <c r="J44">
        <f t="shared" si="2"/>
        <v>174722.76</v>
      </c>
      <c r="K44">
        <f t="shared" si="3"/>
        <v>10963.079999999991</v>
      </c>
      <c r="L44" t="s">
        <v>17</v>
      </c>
      <c r="M44" t="s">
        <v>31</v>
      </c>
      <c r="N44" t="s">
        <v>22</v>
      </c>
    </row>
    <row r="45" spans="1:14" x14ac:dyDescent="0.3">
      <c r="A45" s="1">
        <v>44938</v>
      </c>
      <c r="B45" s="1" t="str">
        <f t="shared" si="0"/>
        <v>Jan</v>
      </c>
      <c r="C45" s="1" t="str">
        <f t="shared" si="1"/>
        <v>2023</v>
      </c>
      <c r="D45" t="s">
        <v>33</v>
      </c>
      <c r="E45" t="s">
        <v>15</v>
      </c>
      <c r="F45" t="s">
        <v>26</v>
      </c>
      <c r="G45">
        <v>3724.38</v>
      </c>
      <c r="H45">
        <v>3988.7</v>
      </c>
      <c r="I45">
        <v>21</v>
      </c>
      <c r="J45">
        <f t="shared" si="2"/>
        <v>83762.7</v>
      </c>
      <c r="K45">
        <f t="shared" si="3"/>
        <v>5550.7199999999939</v>
      </c>
      <c r="L45" t="s">
        <v>30</v>
      </c>
      <c r="M45" t="s">
        <v>27</v>
      </c>
      <c r="N45" t="s">
        <v>22</v>
      </c>
    </row>
    <row r="46" spans="1:14" x14ac:dyDescent="0.3">
      <c r="A46" s="1">
        <v>44938</v>
      </c>
      <c r="B46" s="1" t="str">
        <f t="shared" si="0"/>
        <v>Jan</v>
      </c>
      <c r="C46" s="1" t="str">
        <f t="shared" si="1"/>
        <v>2023</v>
      </c>
      <c r="D46" t="s">
        <v>38</v>
      </c>
      <c r="E46" t="s">
        <v>21</v>
      </c>
      <c r="F46" t="s">
        <v>26</v>
      </c>
      <c r="G46">
        <v>3443.98</v>
      </c>
      <c r="H46">
        <v>3820.3</v>
      </c>
      <c r="I46">
        <v>38</v>
      </c>
      <c r="J46">
        <f t="shared" si="2"/>
        <v>145171.4</v>
      </c>
      <c r="K46">
        <f t="shared" si="3"/>
        <v>14300.160000000007</v>
      </c>
      <c r="L46" t="s">
        <v>17</v>
      </c>
      <c r="M46" t="s">
        <v>31</v>
      </c>
      <c r="N46" t="s">
        <v>22</v>
      </c>
    </row>
    <row r="47" spans="1:14" x14ac:dyDescent="0.3">
      <c r="A47" s="1">
        <v>44939</v>
      </c>
      <c r="B47" s="1" t="str">
        <f t="shared" si="0"/>
        <v>Jan</v>
      </c>
      <c r="C47" s="1" t="str">
        <f t="shared" si="1"/>
        <v>2023</v>
      </c>
      <c r="D47" t="s">
        <v>42</v>
      </c>
      <c r="E47" t="s">
        <v>34</v>
      </c>
      <c r="F47" t="s">
        <v>16</v>
      </c>
      <c r="G47">
        <v>3126.52</v>
      </c>
      <c r="H47">
        <v>3465.79</v>
      </c>
      <c r="I47">
        <v>39</v>
      </c>
      <c r="J47">
        <f t="shared" si="2"/>
        <v>135165.81</v>
      </c>
      <c r="K47">
        <f t="shared" si="3"/>
        <v>13231.529999999999</v>
      </c>
      <c r="L47" t="s">
        <v>30</v>
      </c>
      <c r="M47" t="s">
        <v>18</v>
      </c>
      <c r="N47" t="s">
        <v>19</v>
      </c>
    </row>
    <row r="48" spans="1:14" x14ac:dyDescent="0.3">
      <c r="A48" s="1">
        <v>44939</v>
      </c>
      <c r="B48" s="1" t="str">
        <f t="shared" si="0"/>
        <v>Jan</v>
      </c>
      <c r="C48" s="1" t="str">
        <f t="shared" si="1"/>
        <v>2023</v>
      </c>
      <c r="D48" t="s">
        <v>42</v>
      </c>
      <c r="E48" t="s">
        <v>34</v>
      </c>
      <c r="F48" t="s">
        <v>29</v>
      </c>
      <c r="G48">
        <v>2382.98</v>
      </c>
      <c r="H48">
        <v>2839.73</v>
      </c>
      <c r="I48">
        <v>17</v>
      </c>
      <c r="J48">
        <f t="shared" si="2"/>
        <v>48275.41</v>
      </c>
      <c r="K48">
        <f t="shared" si="3"/>
        <v>7764.75</v>
      </c>
      <c r="L48" t="s">
        <v>17</v>
      </c>
      <c r="M48" t="s">
        <v>27</v>
      </c>
      <c r="N48" t="s">
        <v>22</v>
      </c>
    </row>
    <row r="49" spans="1:14" x14ac:dyDescent="0.3">
      <c r="A49" s="1">
        <v>44940</v>
      </c>
      <c r="B49" s="1" t="str">
        <f t="shared" si="0"/>
        <v>Jan</v>
      </c>
      <c r="C49" s="1" t="str">
        <f t="shared" si="1"/>
        <v>2023</v>
      </c>
      <c r="D49" t="s">
        <v>14</v>
      </c>
      <c r="E49" t="s">
        <v>25</v>
      </c>
      <c r="F49" t="s">
        <v>29</v>
      </c>
      <c r="G49">
        <v>2693.99</v>
      </c>
      <c r="H49">
        <v>3045.9399999999901</v>
      </c>
      <c r="I49">
        <v>45</v>
      </c>
      <c r="J49">
        <f t="shared" si="2"/>
        <v>137067.29999999955</v>
      </c>
      <c r="K49">
        <f t="shared" si="3"/>
        <v>15837.749999999562</v>
      </c>
      <c r="L49" t="s">
        <v>30</v>
      </c>
      <c r="M49" t="s">
        <v>18</v>
      </c>
      <c r="N49" t="s">
        <v>22</v>
      </c>
    </row>
    <row r="50" spans="1:14" x14ac:dyDescent="0.3">
      <c r="A50" s="1">
        <v>44940</v>
      </c>
      <c r="B50" s="1" t="str">
        <f t="shared" si="0"/>
        <v>Jan</v>
      </c>
      <c r="C50" s="1" t="str">
        <f t="shared" si="1"/>
        <v>2023</v>
      </c>
      <c r="D50" t="s">
        <v>42</v>
      </c>
      <c r="E50" t="s">
        <v>21</v>
      </c>
      <c r="F50" t="s">
        <v>29</v>
      </c>
      <c r="G50">
        <v>1345.67</v>
      </c>
      <c r="H50">
        <v>1367.76</v>
      </c>
      <c r="I50">
        <v>24</v>
      </c>
      <c r="J50">
        <f t="shared" si="2"/>
        <v>32826.239999999998</v>
      </c>
      <c r="K50">
        <f t="shared" si="3"/>
        <v>530.15999999999804</v>
      </c>
      <c r="L50" t="s">
        <v>30</v>
      </c>
      <c r="M50" t="s">
        <v>27</v>
      </c>
      <c r="N50" t="s">
        <v>19</v>
      </c>
    </row>
    <row r="51" spans="1:14" x14ac:dyDescent="0.3">
      <c r="A51" s="1">
        <v>44940</v>
      </c>
      <c r="B51" s="1" t="str">
        <f t="shared" si="0"/>
        <v>Jan</v>
      </c>
      <c r="C51" s="1" t="str">
        <f t="shared" si="1"/>
        <v>2023</v>
      </c>
      <c r="D51" t="s">
        <v>33</v>
      </c>
      <c r="E51" t="s">
        <v>21</v>
      </c>
      <c r="F51" t="s">
        <v>26</v>
      </c>
      <c r="G51">
        <v>2361.7399999999998</v>
      </c>
      <c r="H51">
        <v>2584.35</v>
      </c>
      <c r="I51">
        <v>25</v>
      </c>
      <c r="J51">
        <f t="shared" si="2"/>
        <v>64608.75</v>
      </c>
      <c r="K51">
        <f t="shared" si="3"/>
        <v>5565.2500000000036</v>
      </c>
      <c r="L51" t="s">
        <v>17</v>
      </c>
      <c r="M51" t="s">
        <v>18</v>
      </c>
      <c r="N51" t="s">
        <v>19</v>
      </c>
    </row>
    <row r="52" spans="1:14" x14ac:dyDescent="0.3">
      <c r="A52" s="1">
        <v>44940</v>
      </c>
      <c r="B52" s="1" t="str">
        <f t="shared" si="0"/>
        <v>Jan</v>
      </c>
      <c r="C52" s="1" t="str">
        <f t="shared" si="1"/>
        <v>2023</v>
      </c>
      <c r="D52" t="s">
        <v>14</v>
      </c>
      <c r="E52" t="s">
        <v>34</v>
      </c>
      <c r="F52" t="s">
        <v>26</v>
      </c>
      <c r="G52">
        <v>4987.71</v>
      </c>
      <c r="H52">
        <v>4998.78</v>
      </c>
      <c r="I52">
        <v>6</v>
      </c>
      <c r="J52">
        <f t="shared" si="2"/>
        <v>29992.68</v>
      </c>
      <c r="K52">
        <f t="shared" si="3"/>
        <v>66.419999999998254</v>
      </c>
      <c r="L52" t="s">
        <v>17</v>
      </c>
      <c r="M52" t="s">
        <v>18</v>
      </c>
      <c r="N52" t="s">
        <v>22</v>
      </c>
    </row>
    <row r="53" spans="1:14" x14ac:dyDescent="0.3">
      <c r="A53" s="1">
        <v>44941</v>
      </c>
      <c r="B53" s="1" t="str">
        <f t="shared" si="0"/>
        <v>Jan</v>
      </c>
      <c r="C53" s="1" t="str">
        <f t="shared" si="1"/>
        <v>2023</v>
      </c>
      <c r="D53" t="s">
        <v>38</v>
      </c>
      <c r="E53" t="s">
        <v>15</v>
      </c>
      <c r="F53" t="s">
        <v>16</v>
      </c>
      <c r="G53">
        <v>2594.42</v>
      </c>
      <c r="H53">
        <v>3081.04</v>
      </c>
      <c r="I53">
        <v>6</v>
      </c>
      <c r="J53">
        <f t="shared" si="2"/>
        <v>18486.239999999998</v>
      </c>
      <c r="K53">
        <f t="shared" si="3"/>
        <v>2919.7199999999993</v>
      </c>
      <c r="L53" t="s">
        <v>17</v>
      </c>
      <c r="M53" t="s">
        <v>27</v>
      </c>
      <c r="N53" t="s">
        <v>22</v>
      </c>
    </row>
    <row r="54" spans="1:14" x14ac:dyDescent="0.3">
      <c r="A54" s="1">
        <v>44941</v>
      </c>
      <c r="B54" s="1" t="str">
        <f t="shared" si="0"/>
        <v>Jan</v>
      </c>
      <c r="C54" s="1" t="str">
        <f t="shared" si="1"/>
        <v>2023</v>
      </c>
      <c r="D54" t="s">
        <v>14</v>
      </c>
      <c r="E54" t="s">
        <v>21</v>
      </c>
      <c r="F54" t="s">
        <v>26</v>
      </c>
      <c r="G54">
        <v>149.11000000000001</v>
      </c>
      <c r="H54">
        <v>477.67</v>
      </c>
      <c r="I54">
        <v>26</v>
      </c>
      <c r="J54">
        <f t="shared" si="2"/>
        <v>12419.42</v>
      </c>
      <c r="K54">
        <f t="shared" si="3"/>
        <v>8542.56</v>
      </c>
      <c r="L54" t="s">
        <v>17</v>
      </c>
      <c r="M54" t="s">
        <v>18</v>
      </c>
      <c r="N54" t="s">
        <v>22</v>
      </c>
    </row>
    <row r="55" spans="1:14" x14ac:dyDescent="0.3">
      <c r="A55" s="1">
        <v>44941</v>
      </c>
      <c r="B55" s="1" t="str">
        <f t="shared" si="0"/>
        <v>Jan</v>
      </c>
      <c r="C55" s="1" t="str">
        <f t="shared" si="1"/>
        <v>2023</v>
      </c>
      <c r="D55" t="s">
        <v>33</v>
      </c>
      <c r="E55" t="s">
        <v>15</v>
      </c>
      <c r="F55" t="s">
        <v>16</v>
      </c>
      <c r="G55">
        <v>342.3</v>
      </c>
      <c r="H55">
        <v>768.06</v>
      </c>
      <c r="I55">
        <v>19</v>
      </c>
      <c r="J55">
        <f t="shared" si="2"/>
        <v>14593.14</v>
      </c>
      <c r="K55">
        <f t="shared" si="3"/>
        <v>8089.4399999999987</v>
      </c>
      <c r="L55" t="s">
        <v>17</v>
      </c>
      <c r="M55" t="s">
        <v>31</v>
      </c>
      <c r="N55" t="s">
        <v>19</v>
      </c>
    </row>
    <row r="56" spans="1:14" x14ac:dyDescent="0.3">
      <c r="A56" s="1">
        <v>44941</v>
      </c>
      <c r="B56" s="1" t="str">
        <f t="shared" si="0"/>
        <v>Jan</v>
      </c>
      <c r="C56" s="1" t="str">
        <f t="shared" si="1"/>
        <v>2023</v>
      </c>
      <c r="D56" t="s">
        <v>24</v>
      </c>
      <c r="E56" t="s">
        <v>25</v>
      </c>
      <c r="F56" t="s">
        <v>16</v>
      </c>
      <c r="G56">
        <v>2172.38</v>
      </c>
      <c r="H56">
        <v>2367.11</v>
      </c>
      <c r="I56">
        <v>46</v>
      </c>
      <c r="J56">
        <f t="shared" si="2"/>
        <v>108887.06000000001</v>
      </c>
      <c r="K56">
        <f t="shared" si="3"/>
        <v>8957.5800000000017</v>
      </c>
      <c r="L56" t="s">
        <v>30</v>
      </c>
      <c r="M56" t="s">
        <v>18</v>
      </c>
      <c r="N56" t="s">
        <v>22</v>
      </c>
    </row>
    <row r="57" spans="1:14" x14ac:dyDescent="0.3">
      <c r="A57" s="1">
        <v>44941</v>
      </c>
      <c r="B57" s="1" t="str">
        <f t="shared" si="0"/>
        <v>Jan</v>
      </c>
      <c r="C57" s="1" t="str">
        <f t="shared" si="1"/>
        <v>2023</v>
      </c>
      <c r="D57" t="s">
        <v>14</v>
      </c>
      <c r="E57" t="s">
        <v>15</v>
      </c>
      <c r="F57" t="s">
        <v>16</v>
      </c>
      <c r="G57">
        <v>4470.91</v>
      </c>
      <c r="H57">
        <v>4695.54</v>
      </c>
      <c r="I57">
        <v>45</v>
      </c>
      <c r="J57">
        <f t="shared" si="2"/>
        <v>211299.3</v>
      </c>
      <c r="K57">
        <f t="shared" si="3"/>
        <v>10108.350000000006</v>
      </c>
      <c r="L57" t="s">
        <v>17</v>
      </c>
      <c r="M57" t="s">
        <v>18</v>
      </c>
      <c r="N57" t="s">
        <v>22</v>
      </c>
    </row>
    <row r="58" spans="1:14" x14ac:dyDescent="0.3">
      <c r="A58" s="1">
        <v>44942</v>
      </c>
      <c r="B58" s="1" t="str">
        <f t="shared" si="0"/>
        <v>Jan</v>
      </c>
      <c r="C58" s="1" t="str">
        <f t="shared" si="1"/>
        <v>2023</v>
      </c>
      <c r="D58" t="s">
        <v>38</v>
      </c>
      <c r="E58" t="s">
        <v>34</v>
      </c>
      <c r="F58" t="s">
        <v>29</v>
      </c>
      <c r="G58">
        <v>3356.62</v>
      </c>
      <c r="H58">
        <v>3759.0099999999902</v>
      </c>
      <c r="I58">
        <v>20</v>
      </c>
      <c r="J58">
        <f t="shared" si="2"/>
        <v>75180.199999999808</v>
      </c>
      <c r="K58">
        <f t="shared" si="3"/>
        <v>8047.7999999998065</v>
      </c>
      <c r="L58" t="s">
        <v>17</v>
      </c>
      <c r="M58" t="s">
        <v>31</v>
      </c>
      <c r="N58" t="s">
        <v>22</v>
      </c>
    </row>
    <row r="59" spans="1:14" x14ac:dyDescent="0.3">
      <c r="A59" s="1">
        <v>44942</v>
      </c>
      <c r="B59" s="1" t="str">
        <f t="shared" si="0"/>
        <v>Jan</v>
      </c>
      <c r="C59" s="1" t="str">
        <f t="shared" si="1"/>
        <v>2023</v>
      </c>
      <c r="D59" t="s">
        <v>42</v>
      </c>
      <c r="E59" t="s">
        <v>15</v>
      </c>
      <c r="F59" t="s">
        <v>16</v>
      </c>
      <c r="G59">
        <v>366.31</v>
      </c>
      <c r="H59">
        <v>492.68</v>
      </c>
      <c r="I59">
        <v>13</v>
      </c>
      <c r="J59">
        <f t="shared" si="2"/>
        <v>6404.84</v>
      </c>
      <c r="K59">
        <f t="shared" si="3"/>
        <v>1642.81</v>
      </c>
      <c r="L59" t="s">
        <v>30</v>
      </c>
      <c r="M59" t="s">
        <v>31</v>
      </c>
      <c r="N59" t="s">
        <v>22</v>
      </c>
    </row>
    <row r="60" spans="1:14" x14ac:dyDescent="0.3">
      <c r="A60" s="1">
        <v>44943</v>
      </c>
      <c r="B60" s="1" t="str">
        <f t="shared" si="0"/>
        <v>Jan</v>
      </c>
      <c r="C60" s="1" t="str">
        <f t="shared" si="1"/>
        <v>2023</v>
      </c>
      <c r="D60" t="s">
        <v>24</v>
      </c>
      <c r="E60" t="s">
        <v>21</v>
      </c>
      <c r="F60" t="s">
        <v>16</v>
      </c>
      <c r="G60">
        <v>2278.67</v>
      </c>
      <c r="H60">
        <v>2476.8000000000002</v>
      </c>
      <c r="I60">
        <v>12</v>
      </c>
      <c r="J60">
        <f t="shared" si="2"/>
        <v>29721.600000000002</v>
      </c>
      <c r="K60">
        <f t="shared" si="3"/>
        <v>2377.5600000000013</v>
      </c>
      <c r="L60" t="s">
        <v>30</v>
      </c>
      <c r="M60" t="s">
        <v>18</v>
      </c>
      <c r="N60" t="s">
        <v>22</v>
      </c>
    </row>
    <row r="61" spans="1:14" x14ac:dyDescent="0.3">
      <c r="A61" s="1">
        <v>44943</v>
      </c>
      <c r="B61" s="1" t="str">
        <f t="shared" si="0"/>
        <v>Jan</v>
      </c>
      <c r="C61" s="1" t="str">
        <f t="shared" si="1"/>
        <v>2023</v>
      </c>
      <c r="D61" t="s">
        <v>38</v>
      </c>
      <c r="E61" t="s">
        <v>21</v>
      </c>
      <c r="F61" t="s">
        <v>35</v>
      </c>
      <c r="G61">
        <v>2863.74</v>
      </c>
      <c r="H61">
        <v>2953.91</v>
      </c>
      <c r="I61">
        <v>21</v>
      </c>
      <c r="J61">
        <f t="shared" si="2"/>
        <v>62032.11</v>
      </c>
      <c r="K61">
        <f t="shared" si="3"/>
        <v>1893.5700000000015</v>
      </c>
      <c r="L61" t="s">
        <v>30</v>
      </c>
      <c r="M61" t="s">
        <v>27</v>
      </c>
      <c r="N61" t="s">
        <v>22</v>
      </c>
    </row>
    <row r="62" spans="1:14" x14ac:dyDescent="0.3">
      <c r="A62" s="1">
        <v>44943</v>
      </c>
      <c r="B62" s="1" t="str">
        <f t="shared" si="0"/>
        <v>Jan</v>
      </c>
      <c r="C62" s="1" t="str">
        <f t="shared" si="1"/>
        <v>2023</v>
      </c>
      <c r="D62" t="s">
        <v>33</v>
      </c>
      <c r="E62" t="s">
        <v>15</v>
      </c>
      <c r="F62" t="s">
        <v>35</v>
      </c>
      <c r="G62">
        <v>2719</v>
      </c>
      <c r="H62">
        <v>3133.55</v>
      </c>
      <c r="I62">
        <v>31</v>
      </c>
      <c r="J62">
        <f t="shared" si="2"/>
        <v>97140.05</v>
      </c>
      <c r="K62">
        <f t="shared" si="3"/>
        <v>12851.050000000007</v>
      </c>
      <c r="L62" t="s">
        <v>17</v>
      </c>
      <c r="M62" t="s">
        <v>27</v>
      </c>
      <c r="N62" t="s">
        <v>22</v>
      </c>
    </row>
    <row r="63" spans="1:14" x14ac:dyDescent="0.3">
      <c r="A63" s="1">
        <v>44943</v>
      </c>
      <c r="B63" s="1" t="str">
        <f t="shared" si="0"/>
        <v>Jan</v>
      </c>
      <c r="C63" s="1" t="str">
        <f t="shared" si="1"/>
        <v>2023</v>
      </c>
      <c r="D63" t="s">
        <v>14</v>
      </c>
      <c r="E63" t="s">
        <v>25</v>
      </c>
      <c r="F63" t="s">
        <v>35</v>
      </c>
      <c r="G63">
        <v>1190.4100000000001</v>
      </c>
      <c r="H63">
        <v>1582.89</v>
      </c>
      <c r="I63">
        <v>3</v>
      </c>
      <c r="J63">
        <f t="shared" si="2"/>
        <v>4748.67</v>
      </c>
      <c r="K63">
        <f t="shared" si="3"/>
        <v>1177.44</v>
      </c>
      <c r="L63" t="s">
        <v>30</v>
      </c>
      <c r="M63" t="s">
        <v>31</v>
      </c>
      <c r="N63" t="s">
        <v>22</v>
      </c>
    </row>
    <row r="64" spans="1:14" x14ac:dyDescent="0.3">
      <c r="A64" s="1">
        <v>44943</v>
      </c>
      <c r="B64" s="1" t="str">
        <f t="shared" si="0"/>
        <v>Jan</v>
      </c>
      <c r="C64" s="1" t="str">
        <f t="shared" si="1"/>
        <v>2023</v>
      </c>
      <c r="D64" t="s">
        <v>33</v>
      </c>
      <c r="E64" t="s">
        <v>25</v>
      </c>
      <c r="F64" t="s">
        <v>29</v>
      </c>
      <c r="G64">
        <v>1964.15</v>
      </c>
      <c r="H64">
        <v>2211.17</v>
      </c>
      <c r="I64">
        <v>16</v>
      </c>
      <c r="J64">
        <f t="shared" si="2"/>
        <v>35378.720000000001</v>
      </c>
      <c r="K64">
        <f t="shared" si="3"/>
        <v>3952.3199999999997</v>
      </c>
      <c r="L64" t="s">
        <v>17</v>
      </c>
      <c r="M64" t="s">
        <v>27</v>
      </c>
      <c r="N64" t="s">
        <v>19</v>
      </c>
    </row>
    <row r="65" spans="1:14" x14ac:dyDescent="0.3">
      <c r="A65" s="1">
        <v>44943</v>
      </c>
      <c r="B65" s="1" t="str">
        <f t="shared" si="0"/>
        <v>Jan</v>
      </c>
      <c r="C65" s="1" t="str">
        <f t="shared" si="1"/>
        <v>2023</v>
      </c>
      <c r="D65" t="s">
        <v>14</v>
      </c>
      <c r="E65" t="s">
        <v>25</v>
      </c>
      <c r="F65" t="s">
        <v>16</v>
      </c>
      <c r="G65">
        <v>4035.33</v>
      </c>
      <c r="H65">
        <v>4211.25</v>
      </c>
      <c r="I65">
        <v>47</v>
      </c>
      <c r="J65">
        <f t="shared" si="2"/>
        <v>197928.75</v>
      </c>
      <c r="K65">
        <f t="shared" si="3"/>
        <v>8268.2400000000034</v>
      </c>
      <c r="L65" t="s">
        <v>17</v>
      </c>
      <c r="M65" t="s">
        <v>27</v>
      </c>
      <c r="N65" t="s">
        <v>19</v>
      </c>
    </row>
    <row r="66" spans="1:14" x14ac:dyDescent="0.3">
      <c r="A66" s="1">
        <v>44944</v>
      </c>
      <c r="B66" s="1" t="str">
        <f t="shared" ref="B66:B129" si="4">TEXT(A66,"MMM")</f>
        <v>Jan</v>
      </c>
      <c r="C66" s="1" t="str">
        <f t="shared" ref="C66:C129" si="5">TEXT(A66,"YYYY")</f>
        <v>2023</v>
      </c>
      <c r="D66" t="s">
        <v>33</v>
      </c>
      <c r="E66" t="s">
        <v>34</v>
      </c>
      <c r="F66" t="s">
        <v>35</v>
      </c>
      <c r="G66">
        <v>1763.67</v>
      </c>
      <c r="H66">
        <v>1983.82</v>
      </c>
      <c r="I66">
        <v>44</v>
      </c>
      <c r="J66">
        <f t="shared" ref="J66:J129" si="6">(I66*H66)</f>
        <v>87288.08</v>
      </c>
      <c r="K66">
        <f t="shared" ref="K66:K129" si="7">(H66-G66)*I66</f>
        <v>9686.5999999999949</v>
      </c>
      <c r="L66" t="s">
        <v>30</v>
      </c>
      <c r="M66" t="s">
        <v>31</v>
      </c>
      <c r="N66" t="s">
        <v>19</v>
      </c>
    </row>
    <row r="67" spans="1:14" x14ac:dyDescent="0.3">
      <c r="A67" s="1">
        <v>44945</v>
      </c>
      <c r="B67" s="1" t="str">
        <f t="shared" si="4"/>
        <v>Jan</v>
      </c>
      <c r="C67" s="1" t="str">
        <f t="shared" si="5"/>
        <v>2023</v>
      </c>
      <c r="D67" t="s">
        <v>14</v>
      </c>
      <c r="E67" t="s">
        <v>21</v>
      </c>
      <c r="F67" t="s">
        <v>29</v>
      </c>
      <c r="G67">
        <v>4310.95</v>
      </c>
      <c r="H67">
        <v>4723.2</v>
      </c>
      <c r="I67">
        <v>7</v>
      </c>
      <c r="J67">
        <f t="shared" si="6"/>
        <v>33062.400000000001</v>
      </c>
      <c r="K67">
        <f t="shared" si="7"/>
        <v>2885.75</v>
      </c>
      <c r="L67" t="s">
        <v>17</v>
      </c>
      <c r="M67" t="s">
        <v>31</v>
      </c>
      <c r="N67" t="s">
        <v>22</v>
      </c>
    </row>
    <row r="68" spans="1:14" x14ac:dyDescent="0.3">
      <c r="A68" s="1">
        <v>44946</v>
      </c>
      <c r="B68" s="1" t="str">
        <f t="shared" si="4"/>
        <v>Jan</v>
      </c>
      <c r="C68" s="1" t="str">
        <f t="shared" si="5"/>
        <v>2023</v>
      </c>
      <c r="D68" t="s">
        <v>14</v>
      </c>
      <c r="E68" t="s">
        <v>34</v>
      </c>
      <c r="F68" t="s">
        <v>29</v>
      </c>
      <c r="G68">
        <v>3410.49</v>
      </c>
      <c r="H68">
        <v>3481.72</v>
      </c>
      <c r="I68">
        <v>29</v>
      </c>
      <c r="J68">
        <f t="shared" si="6"/>
        <v>100969.87999999999</v>
      </c>
      <c r="K68">
        <f t="shared" si="7"/>
        <v>2065.6700000000005</v>
      </c>
      <c r="L68" t="s">
        <v>30</v>
      </c>
      <c r="M68" t="s">
        <v>27</v>
      </c>
      <c r="N68" t="s">
        <v>22</v>
      </c>
    </row>
    <row r="69" spans="1:14" x14ac:dyDescent="0.3">
      <c r="A69" s="1">
        <v>44946</v>
      </c>
      <c r="B69" s="1" t="str">
        <f t="shared" si="4"/>
        <v>Jan</v>
      </c>
      <c r="C69" s="1" t="str">
        <f t="shared" si="5"/>
        <v>2023</v>
      </c>
      <c r="D69" t="s">
        <v>38</v>
      </c>
      <c r="E69" t="s">
        <v>34</v>
      </c>
      <c r="F69" t="s">
        <v>29</v>
      </c>
      <c r="G69">
        <v>4052.42</v>
      </c>
      <c r="H69">
        <v>4199.3</v>
      </c>
      <c r="I69">
        <v>43</v>
      </c>
      <c r="J69">
        <f t="shared" si="6"/>
        <v>180569.9</v>
      </c>
      <c r="K69">
        <f t="shared" si="7"/>
        <v>6315.8400000000047</v>
      </c>
      <c r="L69" t="s">
        <v>30</v>
      </c>
      <c r="M69" t="s">
        <v>27</v>
      </c>
      <c r="N69" t="s">
        <v>22</v>
      </c>
    </row>
    <row r="70" spans="1:14" x14ac:dyDescent="0.3">
      <c r="A70" s="1">
        <v>44946</v>
      </c>
      <c r="B70" s="1" t="str">
        <f t="shared" si="4"/>
        <v>Jan</v>
      </c>
      <c r="C70" s="1" t="str">
        <f t="shared" si="5"/>
        <v>2023</v>
      </c>
      <c r="D70" t="s">
        <v>24</v>
      </c>
      <c r="E70" t="s">
        <v>21</v>
      </c>
      <c r="F70" t="s">
        <v>16</v>
      </c>
      <c r="G70">
        <v>2443.5700000000002</v>
      </c>
      <c r="H70">
        <v>2943.31</v>
      </c>
      <c r="I70">
        <v>42</v>
      </c>
      <c r="J70">
        <f t="shared" si="6"/>
        <v>123619.02</v>
      </c>
      <c r="K70">
        <f t="shared" si="7"/>
        <v>20989.079999999991</v>
      </c>
      <c r="L70" t="s">
        <v>30</v>
      </c>
      <c r="M70" t="s">
        <v>18</v>
      </c>
      <c r="N70" t="s">
        <v>19</v>
      </c>
    </row>
    <row r="71" spans="1:14" x14ac:dyDescent="0.3">
      <c r="A71" s="1">
        <v>44946</v>
      </c>
      <c r="B71" s="1" t="str">
        <f t="shared" si="4"/>
        <v>Jan</v>
      </c>
      <c r="C71" s="1" t="str">
        <f t="shared" si="5"/>
        <v>2023</v>
      </c>
      <c r="D71" t="s">
        <v>33</v>
      </c>
      <c r="E71" t="s">
        <v>34</v>
      </c>
      <c r="F71" t="s">
        <v>35</v>
      </c>
      <c r="G71">
        <v>4624.16</v>
      </c>
      <c r="H71">
        <v>4731.9799999999996</v>
      </c>
      <c r="I71">
        <v>40</v>
      </c>
      <c r="J71">
        <f t="shared" si="6"/>
        <v>189279.19999999998</v>
      </c>
      <c r="K71">
        <f t="shared" si="7"/>
        <v>4312.7999999999884</v>
      </c>
      <c r="L71" t="s">
        <v>30</v>
      </c>
      <c r="M71" t="s">
        <v>27</v>
      </c>
      <c r="N71" t="s">
        <v>22</v>
      </c>
    </row>
    <row r="72" spans="1:14" x14ac:dyDescent="0.3">
      <c r="A72" s="1">
        <v>44947</v>
      </c>
      <c r="B72" s="1" t="str">
        <f t="shared" si="4"/>
        <v>Jan</v>
      </c>
      <c r="C72" s="1" t="str">
        <f t="shared" si="5"/>
        <v>2023</v>
      </c>
      <c r="D72" t="s">
        <v>33</v>
      </c>
      <c r="E72" t="s">
        <v>15</v>
      </c>
      <c r="F72" t="s">
        <v>16</v>
      </c>
      <c r="G72">
        <v>1792.05</v>
      </c>
      <c r="H72">
        <v>2091.23</v>
      </c>
      <c r="I72">
        <v>3</v>
      </c>
      <c r="J72">
        <f t="shared" si="6"/>
        <v>6273.6900000000005</v>
      </c>
      <c r="K72">
        <f t="shared" si="7"/>
        <v>897.54000000000019</v>
      </c>
      <c r="L72" t="s">
        <v>17</v>
      </c>
      <c r="M72" t="s">
        <v>18</v>
      </c>
      <c r="N72" t="s">
        <v>22</v>
      </c>
    </row>
    <row r="73" spans="1:14" x14ac:dyDescent="0.3">
      <c r="A73" s="1">
        <v>44948</v>
      </c>
      <c r="B73" s="1" t="str">
        <f t="shared" si="4"/>
        <v>Jan</v>
      </c>
      <c r="C73" s="1" t="str">
        <f t="shared" si="5"/>
        <v>2023</v>
      </c>
      <c r="D73" t="s">
        <v>42</v>
      </c>
      <c r="E73" t="s">
        <v>25</v>
      </c>
      <c r="F73" t="s">
        <v>35</v>
      </c>
      <c r="G73">
        <v>4353.29</v>
      </c>
      <c r="H73">
        <v>4405.8</v>
      </c>
      <c r="I73">
        <v>29</v>
      </c>
      <c r="J73">
        <f t="shared" si="6"/>
        <v>127768.20000000001</v>
      </c>
      <c r="K73">
        <f t="shared" si="7"/>
        <v>1522.7900000000063</v>
      </c>
      <c r="L73" t="s">
        <v>30</v>
      </c>
      <c r="M73" t="s">
        <v>27</v>
      </c>
      <c r="N73" t="s">
        <v>19</v>
      </c>
    </row>
    <row r="74" spans="1:14" x14ac:dyDescent="0.3">
      <c r="A74" s="1">
        <v>44948</v>
      </c>
      <c r="B74" s="1" t="str">
        <f t="shared" si="4"/>
        <v>Jan</v>
      </c>
      <c r="C74" s="1" t="str">
        <f t="shared" si="5"/>
        <v>2023</v>
      </c>
      <c r="D74" t="s">
        <v>42</v>
      </c>
      <c r="E74" t="s">
        <v>15</v>
      </c>
      <c r="F74" t="s">
        <v>16</v>
      </c>
      <c r="G74">
        <v>3771.38</v>
      </c>
      <c r="H74">
        <v>4234.92</v>
      </c>
      <c r="I74">
        <v>28</v>
      </c>
      <c r="J74">
        <f t="shared" si="6"/>
        <v>118577.76000000001</v>
      </c>
      <c r="K74">
        <f t="shared" si="7"/>
        <v>12979.119999999999</v>
      </c>
      <c r="L74" t="s">
        <v>30</v>
      </c>
      <c r="M74" t="s">
        <v>31</v>
      </c>
      <c r="N74" t="s">
        <v>22</v>
      </c>
    </row>
    <row r="75" spans="1:14" x14ac:dyDescent="0.3">
      <c r="A75" s="1">
        <v>44948</v>
      </c>
      <c r="B75" s="1" t="str">
        <f t="shared" si="4"/>
        <v>Jan</v>
      </c>
      <c r="C75" s="1" t="str">
        <f t="shared" si="5"/>
        <v>2023</v>
      </c>
      <c r="D75" t="s">
        <v>14</v>
      </c>
      <c r="E75" t="s">
        <v>34</v>
      </c>
      <c r="F75" t="s">
        <v>26</v>
      </c>
      <c r="G75">
        <v>2577.08</v>
      </c>
      <c r="H75">
        <v>2961.56</v>
      </c>
      <c r="I75">
        <v>46</v>
      </c>
      <c r="J75">
        <f t="shared" si="6"/>
        <v>136231.76</v>
      </c>
      <c r="K75">
        <f t="shared" si="7"/>
        <v>17686.080000000002</v>
      </c>
      <c r="L75" t="s">
        <v>17</v>
      </c>
      <c r="M75" t="s">
        <v>18</v>
      </c>
      <c r="N75" t="s">
        <v>19</v>
      </c>
    </row>
    <row r="76" spans="1:14" x14ac:dyDescent="0.3">
      <c r="A76" s="1">
        <v>44949</v>
      </c>
      <c r="B76" s="1" t="str">
        <f t="shared" si="4"/>
        <v>Jan</v>
      </c>
      <c r="C76" s="1" t="str">
        <f t="shared" si="5"/>
        <v>2023</v>
      </c>
      <c r="D76" t="s">
        <v>24</v>
      </c>
      <c r="E76" t="s">
        <v>15</v>
      </c>
      <c r="F76" t="s">
        <v>16</v>
      </c>
      <c r="G76">
        <v>1140.6199999999999</v>
      </c>
      <c r="H76">
        <v>1258.6299999999901</v>
      </c>
      <c r="I76">
        <v>20</v>
      </c>
      <c r="J76">
        <f t="shared" si="6"/>
        <v>25172.599999999802</v>
      </c>
      <c r="K76">
        <f t="shared" si="7"/>
        <v>2360.1999999998043</v>
      </c>
      <c r="L76" t="s">
        <v>17</v>
      </c>
      <c r="M76" t="s">
        <v>27</v>
      </c>
      <c r="N76" t="s">
        <v>19</v>
      </c>
    </row>
    <row r="77" spans="1:14" x14ac:dyDescent="0.3">
      <c r="A77" s="1">
        <v>44949</v>
      </c>
      <c r="B77" s="1" t="str">
        <f t="shared" si="4"/>
        <v>Jan</v>
      </c>
      <c r="C77" s="1" t="str">
        <f t="shared" si="5"/>
        <v>2023</v>
      </c>
      <c r="D77" t="s">
        <v>14</v>
      </c>
      <c r="E77" t="s">
        <v>15</v>
      </c>
      <c r="F77" t="s">
        <v>29</v>
      </c>
      <c r="G77">
        <v>2790.11</v>
      </c>
      <c r="H77">
        <v>3192.37</v>
      </c>
      <c r="I77">
        <v>40</v>
      </c>
      <c r="J77">
        <f t="shared" si="6"/>
        <v>127694.79999999999</v>
      </c>
      <c r="K77">
        <f t="shared" si="7"/>
        <v>16090.399999999991</v>
      </c>
      <c r="L77" t="s">
        <v>17</v>
      </c>
      <c r="M77" t="s">
        <v>27</v>
      </c>
      <c r="N77" t="s">
        <v>19</v>
      </c>
    </row>
    <row r="78" spans="1:14" x14ac:dyDescent="0.3">
      <c r="A78" s="1">
        <v>44949</v>
      </c>
      <c r="B78" s="1" t="str">
        <f t="shared" si="4"/>
        <v>Jan</v>
      </c>
      <c r="C78" s="1" t="str">
        <f t="shared" si="5"/>
        <v>2023</v>
      </c>
      <c r="D78" t="s">
        <v>33</v>
      </c>
      <c r="E78" t="s">
        <v>34</v>
      </c>
      <c r="F78" t="s">
        <v>26</v>
      </c>
      <c r="G78">
        <v>1074.6199999999999</v>
      </c>
      <c r="H78">
        <v>1382.4299999999901</v>
      </c>
      <c r="I78">
        <v>25</v>
      </c>
      <c r="J78">
        <f t="shared" si="6"/>
        <v>34560.749999999753</v>
      </c>
      <c r="K78">
        <f t="shared" si="7"/>
        <v>7695.2499999997544</v>
      </c>
      <c r="L78" t="s">
        <v>17</v>
      </c>
      <c r="M78" t="s">
        <v>31</v>
      </c>
      <c r="N78" t="s">
        <v>22</v>
      </c>
    </row>
    <row r="79" spans="1:14" x14ac:dyDescent="0.3">
      <c r="A79" s="1">
        <v>44950</v>
      </c>
      <c r="B79" s="1" t="str">
        <f t="shared" si="4"/>
        <v>Jan</v>
      </c>
      <c r="C79" s="1" t="str">
        <f t="shared" si="5"/>
        <v>2023</v>
      </c>
      <c r="D79" t="s">
        <v>38</v>
      </c>
      <c r="E79" t="s">
        <v>15</v>
      </c>
      <c r="F79" t="s">
        <v>35</v>
      </c>
      <c r="G79">
        <v>927.89</v>
      </c>
      <c r="H79">
        <v>1399.09</v>
      </c>
      <c r="I79">
        <v>27</v>
      </c>
      <c r="J79">
        <f t="shared" si="6"/>
        <v>37775.43</v>
      </c>
      <c r="K79">
        <f t="shared" si="7"/>
        <v>12722.399999999998</v>
      </c>
      <c r="L79" t="s">
        <v>17</v>
      </c>
      <c r="M79" t="s">
        <v>31</v>
      </c>
      <c r="N79" t="s">
        <v>19</v>
      </c>
    </row>
    <row r="80" spans="1:14" x14ac:dyDescent="0.3">
      <c r="A80" s="1">
        <v>44950</v>
      </c>
      <c r="B80" s="1" t="str">
        <f t="shared" si="4"/>
        <v>Jan</v>
      </c>
      <c r="C80" s="1" t="str">
        <f t="shared" si="5"/>
        <v>2023</v>
      </c>
      <c r="D80" t="s">
        <v>14</v>
      </c>
      <c r="E80" t="s">
        <v>34</v>
      </c>
      <c r="F80" t="s">
        <v>35</v>
      </c>
      <c r="G80">
        <v>4200.08</v>
      </c>
      <c r="H80">
        <v>4647.28</v>
      </c>
      <c r="I80">
        <v>22</v>
      </c>
      <c r="J80">
        <f t="shared" si="6"/>
        <v>102240.15999999999</v>
      </c>
      <c r="K80">
        <f t="shared" si="7"/>
        <v>9838.399999999996</v>
      </c>
      <c r="L80" t="s">
        <v>17</v>
      </c>
      <c r="M80" t="s">
        <v>18</v>
      </c>
      <c r="N80" t="s">
        <v>19</v>
      </c>
    </row>
    <row r="81" spans="1:14" x14ac:dyDescent="0.3">
      <c r="A81" s="1">
        <v>44951</v>
      </c>
      <c r="B81" s="1" t="str">
        <f t="shared" si="4"/>
        <v>Jan</v>
      </c>
      <c r="C81" s="1" t="str">
        <f t="shared" si="5"/>
        <v>2023</v>
      </c>
      <c r="D81" t="s">
        <v>38</v>
      </c>
      <c r="E81" t="s">
        <v>15</v>
      </c>
      <c r="F81" t="s">
        <v>35</v>
      </c>
      <c r="G81">
        <v>1324.52</v>
      </c>
      <c r="H81">
        <v>1510.3</v>
      </c>
      <c r="I81">
        <v>22</v>
      </c>
      <c r="J81">
        <f t="shared" si="6"/>
        <v>33226.6</v>
      </c>
      <c r="K81">
        <f t="shared" si="7"/>
        <v>4087.1599999999994</v>
      </c>
      <c r="L81" t="s">
        <v>17</v>
      </c>
      <c r="M81" t="s">
        <v>18</v>
      </c>
      <c r="N81" t="s">
        <v>22</v>
      </c>
    </row>
    <row r="82" spans="1:14" x14ac:dyDescent="0.3">
      <c r="A82" s="1">
        <v>44951</v>
      </c>
      <c r="B82" s="1" t="str">
        <f t="shared" si="4"/>
        <v>Jan</v>
      </c>
      <c r="C82" s="1" t="str">
        <f t="shared" si="5"/>
        <v>2023</v>
      </c>
      <c r="D82" t="s">
        <v>38</v>
      </c>
      <c r="E82" t="s">
        <v>25</v>
      </c>
      <c r="F82" t="s">
        <v>35</v>
      </c>
      <c r="G82">
        <v>1655.43</v>
      </c>
      <c r="H82">
        <v>2001.08</v>
      </c>
      <c r="I82">
        <v>7</v>
      </c>
      <c r="J82">
        <f t="shared" si="6"/>
        <v>14007.56</v>
      </c>
      <c r="K82">
        <f t="shared" si="7"/>
        <v>2419.5499999999993</v>
      </c>
      <c r="L82" t="s">
        <v>30</v>
      </c>
      <c r="M82" t="s">
        <v>27</v>
      </c>
      <c r="N82" t="s">
        <v>19</v>
      </c>
    </row>
    <row r="83" spans="1:14" x14ac:dyDescent="0.3">
      <c r="A83" s="1">
        <v>44951</v>
      </c>
      <c r="B83" s="1" t="str">
        <f t="shared" si="4"/>
        <v>Jan</v>
      </c>
      <c r="C83" s="1" t="str">
        <f t="shared" si="5"/>
        <v>2023</v>
      </c>
      <c r="D83" t="s">
        <v>14</v>
      </c>
      <c r="E83" t="s">
        <v>34</v>
      </c>
      <c r="F83" t="s">
        <v>16</v>
      </c>
      <c r="G83">
        <v>4440.8599999999997</v>
      </c>
      <c r="H83">
        <v>4506.8099999999904</v>
      </c>
      <c r="I83">
        <v>38</v>
      </c>
      <c r="J83">
        <f t="shared" si="6"/>
        <v>171258.77999999962</v>
      </c>
      <c r="K83">
        <f t="shared" si="7"/>
        <v>2506.0999999996475</v>
      </c>
      <c r="L83" t="s">
        <v>17</v>
      </c>
      <c r="M83" t="s">
        <v>27</v>
      </c>
      <c r="N83" t="s">
        <v>19</v>
      </c>
    </row>
    <row r="84" spans="1:14" x14ac:dyDescent="0.3">
      <c r="A84" s="1">
        <v>44951</v>
      </c>
      <c r="B84" s="1" t="str">
        <f t="shared" si="4"/>
        <v>Jan</v>
      </c>
      <c r="C84" s="1" t="str">
        <f t="shared" si="5"/>
        <v>2023</v>
      </c>
      <c r="D84" t="s">
        <v>24</v>
      </c>
      <c r="E84" t="s">
        <v>34</v>
      </c>
      <c r="F84" t="s">
        <v>29</v>
      </c>
      <c r="G84">
        <v>1167.9100000000001</v>
      </c>
      <c r="H84">
        <v>1547.26</v>
      </c>
      <c r="I84">
        <v>34</v>
      </c>
      <c r="J84">
        <f t="shared" si="6"/>
        <v>52606.84</v>
      </c>
      <c r="K84">
        <f t="shared" si="7"/>
        <v>12897.899999999998</v>
      </c>
      <c r="L84" t="s">
        <v>30</v>
      </c>
      <c r="M84" t="s">
        <v>27</v>
      </c>
      <c r="N84" t="s">
        <v>19</v>
      </c>
    </row>
    <row r="85" spans="1:14" x14ac:dyDescent="0.3">
      <c r="A85" s="1">
        <v>44951</v>
      </c>
      <c r="B85" s="1" t="str">
        <f t="shared" si="4"/>
        <v>Jan</v>
      </c>
      <c r="C85" s="1" t="str">
        <f t="shared" si="5"/>
        <v>2023</v>
      </c>
      <c r="D85" t="s">
        <v>33</v>
      </c>
      <c r="E85" t="s">
        <v>25</v>
      </c>
      <c r="F85" t="s">
        <v>29</v>
      </c>
      <c r="G85">
        <v>4190.26</v>
      </c>
      <c r="H85">
        <v>4645.3500000000004</v>
      </c>
      <c r="I85">
        <v>17</v>
      </c>
      <c r="J85">
        <f t="shared" si="6"/>
        <v>78970.950000000012</v>
      </c>
      <c r="K85">
        <f t="shared" si="7"/>
        <v>7736.5300000000025</v>
      </c>
      <c r="L85" t="s">
        <v>30</v>
      </c>
      <c r="M85" t="s">
        <v>31</v>
      </c>
      <c r="N85" t="s">
        <v>22</v>
      </c>
    </row>
    <row r="86" spans="1:14" x14ac:dyDescent="0.3">
      <c r="A86" s="1">
        <v>44951</v>
      </c>
      <c r="B86" s="1" t="str">
        <f t="shared" si="4"/>
        <v>Jan</v>
      </c>
      <c r="C86" s="1" t="str">
        <f t="shared" si="5"/>
        <v>2023</v>
      </c>
      <c r="D86" t="s">
        <v>33</v>
      </c>
      <c r="E86" t="s">
        <v>21</v>
      </c>
      <c r="F86" t="s">
        <v>29</v>
      </c>
      <c r="G86">
        <v>4809</v>
      </c>
      <c r="H86">
        <v>4967.4399999999996</v>
      </c>
      <c r="I86">
        <v>27</v>
      </c>
      <c r="J86">
        <f t="shared" si="6"/>
        <v>134120.87999999998</v>
      </c>
      <c r="K86">
        <f t="shared" si="7"/>
        <v>4277.8799999999892</v>
      </c>
      <c r="L86" t="s">
        <v>30</v>
      </c>
      <c r="M86" t="s">
        <v>18</v>
      </c>
      <c r="N86" t="s">
        <v>19</v>
      </c>
    </row>
    <row r="87" spans="1:14" x14ac:dyDescent="0.3">
      <c r="A87" s="1">
        <v>44952</v>
      </c>
      <c r="B87" s="1" t="str">
        <f t="shared" si="4"/>
        <v>Jan</v>
      </c>
      <c r="C87" s="1" t="str">
        <f t="shared" si="5"/>
        <v>2023</v>
      </c>
      <c r="D87" t="s">
        <v>42</v>
      </c>
      <c r="E87" t="s">
        <v>34</v>
      </c>
      <c r="F87" t="s">
        <v>29</v>
      </c>
      <c r="G87">
        <v>2414.8200000000002</v>
      </c>
      <c r="H87">
        <v>2519.0700000000002</v>
      </c>
      <c r="I87">
        <v>11</v>
      </c>
      <c r="J87">
        <f t="shared" si="6"/>
        <v>27709.77</v>
      </c>
      <c r="K87">
        <f t="shared" si="7"/>
        <v>1146.75</v>
      </c>
      <c r="L87" t="s">
        <v>17</v>
      </c>
      <c r="M87" t="s">
        <v>18</v>
      </c>
      <c r="N87" t="s">
        <v>19</v>
      </c>
    </row>
    <row r="88" spans="1:14" x14ac:dyDescent="0.3">
      <c r="A88" s="1">
        <v>44952</v>
      </c>
      <c r="B88" s="1" t="str">
        <f t="shared" si="4"/>
        <v>Jan</v>
      </c>
      <c r="C88" s="1" t="str">
        <f t="shared" si="5"/>
        <v>2023</v>
      </c>
      <c r="D88" t="s">
        <v>24</v>
      </c>
      <c r="E88" t="s">
        <v>15</v>
      </c>
      <c r="F88" t="s">
        <v>29</v>
      </c>
      <c r="G88">
        <v>1991.72</v>
      </c>
      <c r="H88">
        <v>2329.37</v>
      </c>
      <c r="I88">
        <v>36</v>
      </c>
      <c r="J88">
        <f t="shared" si="6"/>
        <v>83857.319999999992</v>
      </c>
      <c r="K88">
        <f t="shared" si="7"/>
        <v>12155.399999999994</v>
      </c>
      <c r="L88" t="s">
        <v>30</v>
      </c>
      <c r="M88" t="s">
        <v>31</v>
      </c>
      <c r="N88" t="s">
        <v>22</v>
      </c>
    </row>
    <row r="89" spans="1:14" x14ac:dyDescent="0.3">
      <c r="A89" s="1">
        <v>44952</v>
      </c>
      <c r="B89" s="1" t="str">
        <f t="shared" si="4"/>
        <v>Jan</v>
      </c>
      <c r="C89" s="1" t="str">
        <f t="shared" si="5"/>
        <v>2023</v>
      </c>
      <c r="D89" t="s">
        <v>24</v>
      </c>
      <c r="E89" t="s">
        <v>34</v>
      </c>
      <c r="F89" t="s">
        <v>26</v>
      </c>
      <c r="G89">
        <v>4093.61</v>
      </c>
      <c r="H89">
        <v>4117.88</v>
      </c>
      <c r="I89">
        <v>5</v>
      </c>
      <c r="J89">
        <f t="shared" si="6"/>
        <v>20589.400000000001</v>
      </c>
      <c r="K89">
        <f t="shared" si="7"/>
        <v>121.34999999999991</v>
      </c>
      <c r="L89" t="s">
        <v>17</v>
      </c>
      <c r="M89" t="s">
        <v>31</v>
      </c>
      <c r="N89" t="s">
        <v>22</v>
      </c>
    </row>
    <row r="90" spans="1:14" x14ac:dyDescent="0.3">
      <c r="A90" s="1">
        <v>44953</v>
      </c>
      <c r="B90" s="1" t="str">
        <f t="shared" si="4"/>
        <v>Jan</v>
      </c>
      <c r="C90" s="1" t="str">
        <f t="shared" si="5"/>
        <v>2023</v>
      </c>
      <c r="D90" t="s">
        <v>38</v>
      </c>
      <c r="E90" t="s">
        <v>15</v>
      </c>
      <c r="F90" t="s">
        <v>26</v>
      </c>
      <c r="G90">
        <v>3386.49</v>
      </c>
      <c r="H90">
        <v>3430.99</v>
      </c>
      <c r="I90">
        <v>41</v>
      </c>
      <c r="J90">
        <f t="shared" si="6"/>
        <v>140670.59</v>
      </c>
      <c r="K90">
        <f t="shared" si="7"/>
        <v>1824.5</v>
      </c>
      <c r="L90" t="s">
        <v>30</v>
      </c>
      <c r="M90" t="s">
        <v>27</v>
      </c>
      <c r="N90" t="s">
        <v>22</v>
      </c>
    </row>
    <row r="91" spans="1:14" x14ac:dyDescent="0.3">
      <c r="A91" s="1">
        <v>44953</v>
      </c>
      <c r="B91" s="1" t="str">
        <f t="shared" si="4"/>
        <v>Jan</v>
      </c>
      <c r="C91" s="1" t="str">
        <f t="shared" si="5"/>
        <v>2023</v>
      </c>
      <c r="D91" t="s">
        <v>14</v>
      </c>
      <c r="E91" t="s">
        <v>34</v>
      </c>
      <c r="F91" t="s">
        <v>26</v>
      </c>
      <c r="G91">
        <v>2729.75</v>
      </c>
      <c r="H91">
        <v>3081.5</v>
      </c>
      <c r="I91">
        <v>38</v>
      </c>
      <c r="J91">
        <f t="shared" si="6"/>
        <v>117097</v>
      </c>
      <c r="K91">
        <f t="shared" si="7"/>
        <v>13366.5</v>
      </c>
      <c r="L91" t="s">
        <v>30</v>
      </c>
      <c r="M91" t="s">
        <v>27</v>
      </c>
      <c r="N91" t="s">
        <v>19</v>
      </c>
    </row>
    <row r="92" spans="1:14" x14ac:dyDescent="0.3">
      <c r="A92" s="1">
        <v>44953</v>
      </c>
      <c r="B92" s="1" t="str">
        <f t="shared" si="4"/>
        <v>Jan</v>
      </c>
      <c r="C92" s="1" t="str">
        <f t="shared" si="5"/>
        <v>2023</v>
      </c>
      <c r="D92" t="s">
        <v>14</v>
      </c>
      <c r="E92" t="s">
        <v>25</v>
      </c>
      <c r="F92" t="s">
        <v>35</v>
      </c>
      <c r="G92">
        <v>2035.68</v>
      </c>
      <c r="H92">
        <v>2079.64</v>
      </c>
      <c r="I92">
        <v>12</v>
      </c>
      <c r="J92">
        <f t="shared" si="6"/>
        <v>24955.68</v>
      </c>
      <c r="K92">
        <f t="shared" si="7"/>
        <v>527.51999999999771</v>
      </c>
      <c r="L92" t="s">
        <v>17</v>
      </c>
      <c r="M92" t="s">
        <v>18</v>
      </c>
      <c r="N92" t="s">
        <v>19</v>
      </c>
    </row>
    <row r="93" spans="1:14" x14ac:dyDescent="0.3">
      <c r="A93" s="1">
        <v>44953</v>
      </c>
      <c r="B93" s="1" t="str">
        <f t="shared" si="4"/>
        <v>Jan</v>
      </c>
      <c r="C93" s="1" t="str">
        <f t="shared" si="5"/>
        <v>2023</v>
      </c>
      <c r="D93" t="s">
        <v>24</v>
      </c>
      <c r="E93" t="s">
        <v>21</v>
      </c>
      <c r="F93" t="s">
        <v>16</v>
      </c>
      <c r="G93">
        <v>3697.29</v>
      </c>
      <c r="H93">
        <v>4003.96</v>
      </c>
      <c r="I93">
        <v>26</v>
      </c>
      <c r="J93">
        <f t="shared" si="6"/>
        <v>104102.96</v>
      </c>
      <c r="K93">
        <f t="shared" si="7"/>
        <v>7973.4200000000019</v>
      </c>
      <c r="L93" t="s">
        <v>30</v>
      </c>
      <c r="M93" t="s">
        <v>18</v>
      </c>
      <c r="N93" t="s">
        <v>19</v>
      </c>
    </row>
    <row r="94" spans="1:14" x14ac:dyDescent="0.3">
      <c r="A94" s="1">
        <v>44955</v>
      </c>
      <c r="B94" s="1" t="str">
        <f t="shared" si="4"/>
        <v>Jan</v>
      </c>
      <c r="C94" s="1" t="str">
        <f t="shared" si="5"/>
        <v>2023</v>
      </c>
      <c r="D94" t="s">
        <v>33</v>
      </c>
      <c r="E94" t="s">
        <v>21</v>
      </c>
      <c r="F94" t="s">
        <v>16</v>
      </c>
      <c r="G94">
        <v>3765.46</v>
      </c>
      <c r="H94">
        <v>3860.56</v>
      </c>
      <c r="I94">
        <v>13</v>
      </c>
      <c r="J94">
        <f t="shared" si="6"/>
        <v>50187.28</v>
      </c>
      <c r="K94">
        <f t="shared" si="7"/>
        <v>1236.2999999999988</v>
      </c>
      <c r="L94" t="s">
        <v>17</v>
      </c>
      <c r="M94" t="s">
        <v>18</v>
      </c>
      <c r="N94" t="s">
        <v>22</v>
      </c>
    </row>
    <row r="95" spans="1:14" x14ac:dyDescent="0.3">
      <c r="A95" s="1">
        <v>44955</v>
      </c>
      <c r="B95" s="1" t="str">
        <f t="shared" si="4"/>
        <v>Jan</v>
      </c>
      <c r="C95" s="1" t="str">
        <f t="shared" si="5"/>
        <v>2023</v>
      </c>
      <c r="D95" t="s">
        <v>38</v>
      </c>
      <c r="E95" t="s">
        <v>21</v>
      </c>
      <c r="F95" t="s">
        <v>29</v>
      </c>
      <c r="G95">
        <v>3745.69</v>
      </c>
      <c r="H95">
        <v>3883.77</v>
      </c>
      <c r="I95">
        <v>16</v>
      </c>
      <c r="J95">
        <f t="shared" si="6"/>
        <v>62140.32</v>
      </c>
      <c r="K95">
        <f t="shared" si="7"/>
        <v>2209.2799999999988</v>
      </c>
      <c r="L95" t="s">
        <v>17</v>
      </c>
      <c r="M95" t="s">
        <v>27</v>
      </c>
      <c r="N95" t="s">
        <v>22</v>
      </c>
    </row>
    <row r="96" spans="1:14" x14ac:dyDescent="0.3">
      <c r="A96" s="1">
        <v>44955</v>
      </c>
      <c r="B96" s="1" t="str">
        <f t="shared" si="4"/>
        <v>Jan</v>
      </c>
      <c r="C96" s="1" t="str">
        <f t="shared" si="5"/>
        <v>2023</v>
      </c>
      <c r="D96" t="s">
        <v>33</v>
      </c>
      <c r="E96" t="s">
        <v>25</v>
      </c>
      <c r="F96" t="s">
        <v>35</v>
      </c>
      <c r="G96">
        <v>1233.1199999999999</v>
      </c>
      <c r="H96">
        <v>1697.1899999999901</v>
      </c>
      <c r="I96">
        <v>19</v>
      </c>
      <c r="J96">
        <f t="shared" si="6"/>
        <v>32246.609999999811</v>
      </c>
      <c r="K96">
        <f t="shared" si="7"/>
        <v>8817.3299999998126</v>
      </c>
      <c r="L96" t="s">
        <v>30</v>
      </c>
      <c r="M96" t="s">
        <v>31</v>
      </c>
      <c r="N96" t="s">
        <v>19</v>
      </c>
    </row>
    <row r="97" spans="1:14" x14ac:dyDescent="0.3">
      <c r="A97" s="1">
        <v>44955</v>
      </c>
      <c r="B97" s="1" t="str">
        <f t="shared" si="4"/>
        <v>Jan</v>
      </c>
      <c r="C97" s="1" t="str">
        <f t="shared" si="5"/>
        <v>2023</v>
      </c>
      <c r="D97" t="s">
        <v>24</v>
      </c>
      <c r="E97" t="s">
        <v>21</v>
      </c>
      <c r="F97" t="s">
        <v>26</v>
      </c>
      <c r="G97">
        <v>4660.82</v>
      </c>
      <c r="H97">
        <v>5011.4299999999903</v>
      </c>
      <c r="I97">
        <v>25</v>
      </c>
      <c r="J97">
        <f t="shared" si="6"/>
        <v>125285.74999999975</v>
      </c>
      <c r="K97">
        <f t="shared" si="7"/>
        <v>8765.2499999997635</v>
      </c>
      <c r="L97" t="s">
        <v>30</v>
      </c>
      <c r="M97" t="s">
        <v>27</v>
      </c>
      <c r="N97" t="s">
        <v>19</v>
      </c>
    </row>
    <row r="98" spans="1:14" x14ac:dyDescent="0.3">
      <c r="A98" s="1">
        <v>44955</v>
      </c>
      <c r="B98" s="1" t="str">
        <f t="shared" si="4"/>
        <v>Jan</v>
      </c>
      <c r="C98" s="1" t="str">
        <f t="shared" si="5"/>
        <v>2023</v>
      </c>
      <c r="D98" t="s">
        <v>38</v>
      </c>
      <c r="E98" t="s">
        <v>15</v>
      </c>
      <c r="F98" t="s">
        <v>26</v>
      </c>
      <c r="G98">
        <v>2403.54</v>
      </c>
      <c r="H98">
        <v>2850.56</v>
      </c>
      <c r="I98">
        <v>25</v>
      </c>
      <c r="J98">
        <f t="shared" si="6"/>
        <v>71264</v>
      </c>
      <c r="K98">
        <f t="shared" si="7"/>
        <v>11175.5</v>
      </c>
      <c r="L98" t="s">
        <v>30</v>
      </c>
      <c r="M98" t="s">
        <v>27</v>
      </c>
      <c r="N98" t="s">
        <v>19</v>
      </c>
    </row>
    <row r="99" spans="1:14" x14ac:dyDescent="0.3">
      <c r="A99" s="1">
        <v>44955</v>
      </c>
      <c r="B99" s="1" t="str">
        <f t="shared" si="4"/>
        <v>Jan</v>
      </c>
      <c r="C99" s="1" t="str">
        <f t="shared" si="5"/>
        <v>2023</v>
      </c>
      <c r="D99" t="s">
        <v>14</v>
      </c>
      <c r="E99" t="s">
        <v>25</v>
      </c>
      <c r="F99" t="s">
        <v>29</v>
      </c>
      <c r="G99">
        <v>2684.5</v>
      </c>
      <c r="H99">
        <v>2913.78</v>
      </c>
      <c r="I99">
        <v>13</v>
      </c>
      <c r="J99">
        <f t="shared" si="6"/>
        <v>37879.14</v>
      </c>
      <c r="K99">
        <f t="shared" si="7"/>
        <v>2980.6400000000026</v>
      </c>
      <c r="L99" t="s">
        <v>30</v>
      </c>
      <c r="M99" t="s">
        <v>31</v>
      </c>
      <c r="N99" t="s">
        <v>22</v>
      </c>
    </row>
    <row r="100" spans="1:14" x14ac:dyDescent="0.3">
      <c r="A100" s="1">
        <v>44957</v>
      </c>
      <c r="B100" s="1" t="str">
        <f t="shared" si="4"/>
        <v>Jan</v>
      </c>
      <c r="C100" s="1" t="str">
        <f t="shared" si="5"/>
        <v>2023</v>
      </c>
      <c r="D100" t="s">
        <v>42</v>
      </c>
      <c r="E100" t="s">
        <v>15</v>
      </c>
      <c r="F100" t="s">
        <v>26</v>
      </c>
      <c r="G100">
        <v>635.20000000000005</v>
      </c>
      <c r="H100">
        <v>814.14</v>
      </c>
      <c r="I100">
        <v>11</v>
      </c>
      <c r="J100">
        <f t="shared" si="6"/>
        <v>8955.5399999999991</v>
      </c>
      <c r="K100">
        <f t="shared" si="7"/>
        <v>1968.3399999999992</v>
      </c>
      <c r="L100" t="s">
        <v>17</v>
      </c>
      <c r="M100" t="s">
        <v>18</v>
      </c>
      <c r="N100" t="s">
        <v>19</v>
      </c>
    </row>
    <row r="101" spans="1:14" x14ac:dyDescent="0.3">
      <c r="A101" s="1">
        <v>44957</v>
      </c>
      <c r="B101" s="1" t="str">
        <f t="shared" si="4"/>
        <v>Jan</v>
      </c>
      <c r="C101" s="1" t="str">
        <f t="shared" si="5"/>
        <v>2023</v>
      </c>
      <c r="D101" t="s">
        <v>33</v>
      </c>
      <c r="E101" t="s">
        <v>15</v>
      </c>
      <c r="F101" t="s">
        <v>26</v>
      </c>
      <c r="G101">
        <v>4995.3</v>
      </c>
      <c r="H101">
        <v>5165.09</v>
      </c>
      <c r="I101">
        <v>36</v>
      </c>
      <c r="J101">
        <f t="shared" si="6"/>
        <v>185943.24</v>
      </c>
      <c r="K101">
        <f t="shared" si="7"/>
        <v>6112.4399999999987</v>
      </c>
      <c r="L101" t="s">
        <v>17</v>
      </c>
      <c r="M101" t="s">
        <v>18</v>
      </c>
      <c r="N101" t="s">
        <v>19</v>
      </c>
    </row>
    <row r="102" spans="1:14" x14ac:dyDescent="0.3">
      <c r="A102" s="1">
        <v>44958</v>
      </c>
      <c r="B102" s="1" t="str">
        <f t="shared" si="4"/>
        <v>Feb</v>
      </c>
      <c r="C102" s="1" t="str">
        <f t="shared" si="5"/>
        <v>2023</v>
      </c>
      <c r="D102" t="s">
        <v>38</v>
      </c>
      <c r="E102" t="s">
        <v>15</v>
      </c>
      <c r="F102" t="s">
        <v>16</v>
      </c>
      <c r="G102">
        <v>2760.21</v>
      </c>
      <c r="H102">
        <v>3219.58</v>
      </c>
      <c r="I102">
        <v>18</v>
      </c>
      <c r="J102">
        <f t="shared" si="6"/>
        <v>57952.44</v>
      </c>
      <c r="K102">
        <f t="shared" si="7"/>
        <v>8268.659999999998</v>
      </c>
      <c r="L102" t="s">
        <v>30</v>
      </c>
      <c r="M102" t="s">
        <v>27</v>
      </c>
      <c r="N102" t="s">
        <v>22</v>
      </c>
    </row>
    <row r="103" spans="1:14" x14ac:dyDescent="0.3">
      <c r="A103" s="1">
        <v>44958</v>
      </c>
      <c r="B103" s="1" t="str">
        <f t="shared" si="4"/>
        <v>Feb</v>
      </c>
      <c r="C103" s="1" t="str">
        <f t="shared" si="5"/>
        <v>2023</v>
      </c>
      <c r="D103" t="s">
        <v>42</v>
      </c>
      <c r="E103" t="s">
        <v>21</v>
      </c>
      <c r="F103" t="s">
        <v>35</v>
      </c>
      <c r="G103">
        <v>3955.19</v>
      </c>
      <c r="H103">
        <v>4393.68</v>
      </c>
      <c r="I103">
        <v>27</v>
      </c>
      <c r="J103">
        <f t="shared" si="6"/>
        <v>118629.36000000002</v>
      </c>
      <c r="K103">
        <f t="shared" si="7"/>
        <v>11839.230000000007</v>
      </c>
      <c r="L103" t="s">
        <v>17</v>
      </c>
      <c r="M103" t="s">
        <v>31</v>
      </c>
      <c r="N103" t="s">
        <v>19</v>
      </c>
    </row>
    <row r="104" spans="1:14" x14ac:dyDescent="0.3">
      <c r="A104" s="1">
        <v>44959</v>
      </c>
      <c r="B104" s="1" t="str">
        <f t="shared" si="4"/>
        <v>Feb</v>
      </c>
      <c r="C104" s="1" t="str">
        <f t="shared" si="5"/>
        <v>2023</v>
      </c>
      <c r="D104" t="s">
        <v>42</v>
      </c>
      <c r="E104" t="s">
        <v>34</v>
      </c>
      <c r="F104" t="s">
        <v>35</v>
      </c>
      <c r="G104">
        <v>1724.24</v>
      </c>
      <c r="H104">
        <v>2036.2</v>
      </c>
      <c r="I104">
        <v>31</v>
      </c>
      <c r="J104">
        <f t="shared" si="6"/>
        <v>63122.200000000004</v>
      </c>
      <c r="K104">
        <f t="shared" si="7"/>
        <v>9670.760000000002</v>
      </c>
      <c r="L104" t="s">
        <v>30</v>
      </c>
      <c r="M104" t="s">
        <v>18</v>
      </c>
      <c r="N104" t="s">
        <v>19</v>
      </c>
    </row>
    <row r="105" spans="1:14" x14ac:dyDescent="0.3">
      <c r="A105" s="1">
        <v>44960</v>
      </c>
      <c r="B105" s="1" t="str">
        <f t="shared" si="4"/>
        <v>Feb</v>
      </c>
      <c r="C105" s="1" t="str">
        <f t="shared" si="5"/>
        <v>2023</v>
      </c>
      <c r="D105" t="s">
        <v>14</v>
      </c>
      <c r="E105" t="s">
        <v>15</v>
      </c>
      <c r="F105" t="s">
        <v>29</v>
      </c>
      <c r="G105">
        <v>4625.33</v>
      </c>
      <c r="H105">
        <v>4642.83</v>
      </c>
      <c r="I105">
        <v>42</v>
      </c>
      <c r="J105">
        <f t="shared" si="6"/>
        <v>194998.86</v>
      </c>
      <c r="K105">
        <f t="shared" si="7"/>
        <v>735</v>
      </c>
      <c r="L105" t="s">
        <v>30</v>
      </c>
      <c r="M105" t="s">
        <v>31</v>
      </c>
      <c r="N105" t="s">
        <v>19</v>
      </c>
    </row>
    <row r="106" spans="1:14" x14ac:dyDescent="0.3">
      <c r="A106" s="1">
        <v>44960</v>
      </c>
      <c r="B106" s="1" t="str">
        <f t="shared" si="4"/>
        <v>Feb</v>
      </c>
      <c r="C106" s="1" t="str">
        <f t="shared" si="5"/>
        <v>2023</v>
      </c>
      <c r="D106" t="s">
        <v>33</v>
      </c>
      <c r="E106" t="s">
        <v>15</v>
      </c>
      <c r="F106" t="s">
        <v>26</v>
      </c>
      <c r="G106">
        <v>4483.8500000000004</v>
      </c>
      <c r="H106">
        <v>4795.42</v>
      </c>
      <c r="I106">
        <v>5</v>
      </c>
      <c r="J106">
        <f t="shared" si="6"/>
        <v>23977.1</v>
      </c>
      <c r="K106">
        <f t="shared" si="7"/>
        <v>1557.8499999999985</v>
      </c>
      <c r="L106" t="s">
        <v>17</v>
      </c>
      <c r="M106" t="s">
        <v>18</v>
      </c>
      <c r="N106" t="s">
        <v>19</v>
      </c>
    </row>
    <row r="107" spans="1:14" x14ac:dyDescent="0.3">
      <c r="A107" s="1">
        <v>44960</v>
      </c>
      <c r="B107" s="1" t="str">
        <f t="shared" si="4"/>
        <v>Feb</v>
      </c>
      <c r="C107" s="1" t="str">
        <f t="shared" si="5"/>
        <v>2023</v>
      </c>
      <c r="D107" t="s">
        <v>14</v>
      </c>
      <c r="E107" t="s">
        <v>15</v>
      </c>
      <c r="F107" t="s">
        <v>16</v>
      </c>
      <c r="G107">
        <v>152.75</v>
      </c>
      <c r="H107">
        <v>267.22000000000003</v>
      </c>
      <c r="I107">
        <v>18</v>
      </c>
      <c r="J107">
        <f t="shared" si="6"/>
        <v>4809.9600000000009</v>
      </c>
      <c r="K107">
        <f t="shared" si="7"/>
        <v>2060.4600000000005</v>
      </c>
      <c r="L107" t="s">
        <v>17</v>
      </c>
      <c r="M107" t="s">
        <v>18</v>
      </c>
      <c r="N107" t="s">
        <v>19</v>
      </c>
    </row>
    <row r="108" spans="1:14" x14ac:dyDescent="0.3">
      <c r="A108" s="1">
        <v>44961</v>
      </c>
      <c r="B108" s="1" t="str">
        <f t="shared" si="4"/>
        <v>Feb</v>
      </c>
      <c r="C108" s="1" t="str">
        <f t="shared" si="5"/>
        <v>2023</v>
      </c>
      <c r="D108" t="s">
        <v>42</v>
      </c>
      <c r="E108" t="s">
        <v>21</v>
      </c>
      <c r="F108" t="s">
        <v>35</v>
      </c>
      <c r="G108">
        <v>1265.48</v>
      </c>
      <c r="H108">
        <v>1715.83</v>
      </c>
      <c r="I108">
        <v>19</v>
      </c>
      <c r="J108">
        <f t="shared" si="6"/>
        <v>32600.769999999997</v>
      </c>
      <c r="K108">
        <f t="shared" si="7"/>
        <v>8556.6499999999978</v>
      </c>
      <c r="L108" t="s">
        <v>30</v>
      </c>
      <c r="M108" t="s">
        <v>31</v>
      </c>
      <c r="N108" t="s">
        <v>22</v>
      </c>
    </row>
    <row r="109" spans="1:14" x14ac:dyDescent="0.3">
      <c r="A109" s="1">
        <v>44961</v>
      </c>
      <c r="B109" s="1" t="str">
        <f t="shared" si="4"/>
        <v>Feb</v>
      </c>
      <c r="C109" s="1" t="str">
        <f t="shared" si="5"/>
        <v>2023</v>
      </c>
      <c r="D109" t="s">
        <v>33</v>
      </c>
      <c r="E109" t="s">
        <v>15</v>
      </c>
      <c r="F109" t="s">
        <v>16</v>
      </c>
      <c r="G109">
        <v>523.02</v>
      </c>
      <c r="H109">
        <v>686.25</v>
      </c>
      <c r="I109">
        <v>7</v>
      </c>
      <c r="J109">
        <f t="shared" si="6"/>
        <v>4803.75</v>
      </c>
      <c r="K109">
        <f t="shared" si="7"/>
        <v>1142.6100000000001</v>
      </c>
      <c r="L109" t="s">
        <v>17</v>
      </c>
      <c r="M109" t="s">
        <v>18</v>
      </c>
      <c r="N109" t="s">
        <v>19</v>
      </c>
    </row>
    <row r="110" spans="1:14" x14ac:dyDescent="0.3">
      <c r="A110" s="1">
        <v>44962</v>
      </c>
      <c r="B110" s="1" t="str">
        <f t="shared" si="4"/>
        <v>Feb</v>
      </c>
      <c r="C110" s="1" t="str">
        <f t="shared" si="5"/>
        <v>2023</v>
      </c>
      <c r="D110" t="s">
        <v>24</v>
      </c>
      <c r="E110" t="s">
        <v>34</v>
      </c>
      <c r="F110" t="s">
        <v>16</v>
      </c>
      <c r="G110">
        <v>2590.29</v>
      </c>
      <c r="H110">
        <v>2925.86</v>
      </c>
      <c r="I110">
        <v>49</v>
      </c>
      <c r="J110">
        <f t="shared" si="6"/>
        <v>143367.14000000001</v>
      </c>
      <c r="K110">
        <f t="shared" si="7"/>
        <v>16442.930000000008</v>
      </c>
      <c r="L110" t="s">
        <v>17</v>
      </c>
      <c r="M110" t="s">
        <v>18</v>
      </c>
      <c r="N110" t="s">
        <v>22</v>
      </c>
    </row>
    <row r="111" spans="1:14" x14ac:dyDescent="0.3">
      <c r="A111" s="1">
        <v>44962</v>
      </c>
      <c r="B111" s="1" t="str">
        <f t="shared" si="4"/>
        <v>Feb</v>
      </c>
      <c r="C111" s="1" t="str">
        <f t="shared" si="5"/>
        <v>2023</v>
      </c>
      <c r="D111" t="s">
        <v>24</v>
      </c>
      <c r="E111" t="s">
        <v>15</v>
      </c>
      <c r="F111" t="s">
        <v>35</v>
      </c>
      <c r="G111">
        <v>4723.83</v>
      </c>
      <c r="H111">
        <v>5186.1899999999996</v>
      </c>
      <c r="I111">
        <v>42</v>
      </c>
      <c r="J111">
        <f t="shared" si="6"/>
        <v>217819.97999999998</v>
      </c>
      <c r="K111">
        <f t="shared" si="7"/>
        <v>19419.119999999988</v>
      </c>
      <c r="L111" t="s">
        <v>17</v>
      </c>
      <c r="M111" t="s">
        <v>31</v>
      </c>
      <c r="N111" t="s">
        <v>19</v>
      </c>
    </row>
    <row r="112" spans="1:14" x14ac:dyDescent="0.3">
      <c r="A112" s="1">
        <v>44962</v>
      </c>
      <c r="B112" s="1" t="str">
        <f t="shared" si="4"/>
        <v>Feb</v>
      </c>
      <c r="C112" s="1" t="str">
        <f t="shared" si="5"/>
        <v>2023</v>
      </c>
      <c r="D112" t="s">
        <v>33</v>
      </c>
      <c r="E112" t="s">
        <v>25</v>
      </c>
      <c r="F112" t="s">
        <v>35</v>
      </c>
      <c r="G112">
        <v>1141.52</v>
      </c>
      <c r="H112">
        <v>1550.19</v>
      </c>
      <c r="I112">
        <v>9</v>
      </c>
      <c r="J112">
        <f t="shared" si="6"/>
        <v>13951.710000000001</v>
      </c>
      <c r="K112">
        <f t="shared" si="7"/>
        <v>3678.0300000000007</v>
      </c>
      <c r="L112" t="s">
        <v>30</v>
      </c>
      <c r="M112" t="s">
        <v>31</v>
      </c>
      <c r="N112" t="s">
        <v>22</v>
      </c>
    </row>
    <row r="113" spans="1:14" x14ac:dyDescent="0.3">
      <c r="A113" s="1">
        <v>44963</v>
      </c>
      <c r="B113" s="1" t="str">
        <f t="shared" si="4"/>
        <v>Feb</v>
      </c>
      <c r="C113" s="1" t="str">
        <f t="shared" si="5"/>
        <v>2023</v>
      </c>
      <c r="D113" t="s">
        <v>14</v>
      </c>
      <c r="E113" t="s">
        <v>21</v>
      </c>
      <c r="F113" t="s">
        <v>35</v>
      </c>
      <c r="G113">
        <v>68.33</v>
      </c>
      <c r="H113">
        <v>219.07999999999899</v>
      </c>
      <c r="I113">
        <v>34</v>
      </c>
      <c r="J113">
        <f t="shared" si="6"/>
        <v>7448.7199999999657</v>
      </c>
      <c r="K113">
        <f t="shared" si="7"/>
        <v>5125.4999999999654</v>
      </c>
      <c r="L113" t="s">
        <v>30</v>
      </c>
      <c r="M113" t="s">
        <v>31</v>
      </c>
      <c r="N113" t="s">
        <v>19</v>
      </c>
    </row>
    <row r="114" spans="1:14" x14ac:dyDescent="0.3">
      <c r="A114" s="1">
        <v>44963</v>
      </c>
      <c r="B114" s="1" t="str">
        <f t="shared" si="4"/>
        <v>Feb</v>
      </c>
      <c r="C114" s="1" t="str">
        <f t="shared" si="5"/>
        <v>2023</v>
      </c>
      <c r="D114" t="s">
        <v>38</v>
      </c>
      <c r="E114" t="s">
        <v>21</v>
      </c>
      <c r="F114" t="s">
        <v>26</v>
      </c>
      <c r="G114">
        <v>1153.9000000000001</v>
      </c>
      <c r="H114">
        <v>1485.34</v>
      </c>
      <c r="I114">
        <v>45</v>
      </c>
      <c r="J114">
        <f t="shared" si="6"/>
        <v>66840.3</v>
      </c>
      <c r="K114">
        <f t="shared" si="7"/>
        <v>14914.799999999992</v>
      </c>
      <c r="L114" t="s">
        <v>30</v>
      </c>
      <c r="M114" t="s">
        <v>31</v>
      </c>
      <c r="N114" t="s">
        <v>22</v>
      </c>
    </row>
    <row r="115" spans="1:14" x14ac:dyDescent="0.3">
      <c r="A115" s="1">
        <v>44963</v>
      </c>
      <c r="B115" s="1" t="str">
        <f t="shared" si="4"/>
        <v>Feb</v>
      </c>
      <c r="C115" s="1" t="str">
        <f t="shared" si="5"/>
        <v>2023</v>
      </c>
      <c r="D115" t="s">
        <v>33</v>
      </c>
      <c r="E115" t="s">
        <v>34</v>
      </c>
      <c r="F115" t="s">
        <v>35</v>
      </c>
      <c r="G115">
        <v>4266.3599999999997</v>
      </c>
      <c r="H115">
        <v>4331.4299999999903</v>
      </c>
      <c r="I115">
        <v>26</v>
      </c>
      <c r="J115">
        <f t="shared" si="6"/>
        <v>112617.17999999975</v>
      </c>
      <c r="K115">
        <f t="shared" si="7"/>
        <v>1691.819999999756</v>
      </c>
      <c r="L115" t="s">
        <v>17</v>
      </c>
      <c r="M115" t="s">
        <v>31</v>
      </c>
      <c r="N115" t="s">
        <v>22</v>
      </c>
    </row>
    <row r="116" spans="1:14" x14ac:dyDescent="0.3">
      <c r="A116" s="1">
        <v>44964</v>
      </c>
      <c r="B116" s="1" t="str">
        <f t="shared" si="4"/>
        <v>Feb</v>
      </c>
      <c r="C116" s="1" t="str">
        <f t="shared" si="5"/>
        <v>2023</v>
      </c>
      <c r="D116" t="s">
        <v>33</v>
      </c>
      <c r="E116" t="s">
        <v>21</v>
      </c>
      <c r="F116" t="s">
        <v>26</v>
      </c>
      <c r="G116">
        <v>728.41</v>
      </c>
      <c r="H116">
        <v>1094.92</v>
      </c>
      <c r="I116">
        <v>2</v>
      </c>
      <c r="J116">
        <f t="shared" si="6"/>
        <v>2189.84</v>
      </c>
      <c r="K116">
        <f t="shared" si="7"/>
        <v>733.02000000000021</v>
      </c>
      <c r="L116" t="s">
        <v>30</v>
      </c>
      <c r="M116" t="s">
        <v>18</v>
      </c>
      <c r="N116" t="s">
        <v>22</v>
      </c>
    </row>
    <row r="117" spans="1:14" x14ac:dyDescent="0.3">
      <c r="A117" s="1">
        <v>44964</v>
      </c>
      <c r="B117" s="1" t="str">
        <f t="shared" si="4"/>
        <v>Feb</v>
      </c>
      <c r="C117" s="1" t="str">
        <f t="shared" si="5"/>
        <v>2023</v>
      </c>
      <c r="D117" t="s">
        <v>14</v>
      </c>
      <c r="E117" t="s">
        <v>21</v>
      </c>
      <c r="F117" t="s">
        <v>26</v>
      </c>
      <c r="G117">
        <v>999.09</v>
      </c>
      <c r="H117">
        <v>1271.99</v>
      </c>
      <c r="I117">
        <v>3</v>
      </c>
      <c r="J117">
        <f t="shared" si="6"/>
        <v>3815.9700000000003</v>
      </c>
      <c r="K117">
        <f t="shared" si="7"/>
        <v>818.69999999999993</v>
      </c>
      <c r="L117" t="s">
        <v>30</v>
      </c>
      <c r="M117" t="s">
        <v>31</v>
      </c>
      <c r="N117" t="s">
        <v>19</v>
      </c>
    </row>
    <row r="118" spans="1:14" x14ac:dyDescent="0.3">
      <c r="A118" s="1">
        <v>44964</v>
      </c>
      <c r="B118" s="1" t="str">
        <f t="shared" si="4"/>
        <v>Feb</v>
      </c>
      <c r="C118" s="1" t="str">
        <f t="shared" si="5"/>
        <v>2023</v>
      </c>
      <c r="D118" t="s">
        <v>14</v>
      </c>
      <c r="E118" t="s">
        <v>34</v>
      </c>
      <c r="F118" t="s">
        <v>26</v>
      </c>
      <c r="G118">
        <v>3640.17</v>
      </c>
      <c r="H118">
        <v>4002.63</v>
      </c>
      <c r="I118">
        <v>26</v>
      </c>
      <c r="J118">
        <f t="shared" si="6"/>
        <v>104068.38</v>
      </c>
      <c r="K118">
        <f t="shared" si="7"/>
        <v>9423.9600000000009</v>
      </c>
      <c r="L118" t="s">
        <v>30</v>
      </c>
      <c r="M118" t="s">
        <v>31</v>
      </c>
      <c r="N118" t="s">
        <v>22</v>
      </c>
    </row>
    <row r="119" spans="1:14" x14ac:dyDescent="0.3">
      <c r="A119" s="1">
        <v>44964</v>
      </c>
      <c r="B119" s="1" t="str">
        <f t="shared" si="4"/>
        <v>Feb</v>
      </c>
      <c r="C119" s="1" t="str">
        <f t="shared" si="5"/>
        <v>2023</v>
      </c>
      <c r="D119" t="s">
        <v>38</v>
      </c>
      <c r="E119" t="s">
        <v>21</v>
      </c>
      <c r="F119" t="s">
        <v>29</v>
      </c>
      <c r="G119">
        <v>2427.46</v>
      </c>
      <c r="H119">
        <v>2743.09</v>
      </c>
      <c r="I119">
        <v>12</v>
      </c>
      <c r="J119">
        <f t="shared" si="6"/>
        <v>32917.08</v>
      </c>
      <c r="K119">
        <f t="shared" si="7"/>
        <v>3787.5600000000013</v>
      </c>
      <c r="L119" t="s">
        <v>30</v>
      </c>
      <c r="M119" t="s">
        <v>31</v>
      </c>
      <c r="N119" t="s">
        <v>22</v>
      </c>
    </row>
    <row r="120" spans="1:14" x14ac:dyDescent="0.3">
      <c r="A120" s="1">
        <v>44964</v>
      </c>
      <c r="B120" s="1" t="str">
        <f t="shared" si="4"/>
        <v>Feb</v>
      </c>
      <c r="C120" s="1" t="str">
        <f t="shared" si="5"/>
        <v>2023</v>
      </c>
      <c r="D120" t="s">
        <v>24</v>
      </c>
      <c r="E120" t="s">
        <v>34</v>
      </c>
      <c r="F120" t="s">
        <v>16</v>
      </c>
      <c r="G120">
        <v>2782.08</v>
      </c>
      <c r="H120">
        <v>2879.24</v>
      </c>
      <c r="I120">
        <v>41</v>
      </c>
      <c r="J120">
        <f t="shared" si="6"/>
        <v>118048.84</v>
      </c>
      <c r="K120">
        <f t="shared" si="7"/>
        <v>3983.559999999994</v>
      </c>
      <c r="L120" t="s">
        <v>30</v>
      </c>
      <c r="M120" t="s">
        <v>27</v>
      </c>
      <c r="N120" t="s">
        <v>19</v>
      </c>
    </row>
    <row r="121" spans="1:14" x14ac:dyDescent="0.3">
      <c r="A121" s="1">
        <v>44965</v>
      </c>
      <c r="B121" s="1" t="str">
        <f t="shared" si="4"/>
        <v>Feb</v>
      </c>
      <c r="C121" s="1" t="str">
        <f t="shared" si="5"/>
        <v>2023</v>
      </c>
      <c r="D121" t="s">
        <v>33</v>
      </c>
      <c r="E121" t="s">
        <v>34</v>
      </c>
      <c r="F121" t="s">
        <v>35</v>
      </c>
      <c r="G121">
        <v>2644.77</v>
      </c>
      <c r="H121">
        <v>2684.83</v>
      </c>
      <c r="I121">
        <v>23</v>
      </c>
      <c r="J121">
        <f t="shared" si="6"/>
        <v>61751.09</v>
      </c>
      <c r="K121">
        <f t="shared" si="7"/>
        <v>921.37999999999874</v>
      </c>
      <c r="L121" t="s">
        <v>30</v>
      </c>
      <c r="M121" t="s">
        <v>18</v>
      </c>
      <c r="N121" t="s">
        <v>19</v>
      </c>
    </row>
    <row r="122" spans="1:14" x14ac:dyDescent="0.3">
      <c r="A122" s="1">
        <v>44965</v>
      </c>
      <c r="B122" s="1" t="str">
        <f t="shared" si="4"/>
        <v>Feb</v>
      </c>
      <c r="C122" s="1" t="str">
        <f t="shared" si="5"/>
        <v>2023</v>
      </c>
      <c r="D122" t="s">
        <v>42</v>
      </c>
      <c r="E122" t="s">
        <v>21</v>
      </c>
      <c r="F122" t="s">
        <v>35</v>
      </c>
      <c r="G122">
        <v>1748.11</v>
      </c>
      <c r="H122">
        <v>2220.9</v>
      </c>
      <c r="I122">
        <v>20</v>
      </c>
      <c r="J122">
        <f t="shared" si="6"/>
        <v>44418</v>
      </c>
      <c r="K122">
        <f t="shared" si="7"/>
        <v>9455.8000000000029</v>
      </c>
      <c r="L122" t="s">
        <v>30</v>
      </c>
      <c r="M122" t="s">
        <v>31</v>
      </c>
      <c r="N122" t="s">
        <v>22</v>
      </c>
    </row>
    <row r="123" spans="1:14" x14ac:dyDescent="0.3">
      <c r="A123" s="1">
        <v>44965</v>
      </c>
      <c r="B123" s="1" t="str">
        <f t="shared" si="4"/>
        <v>Feb</v>
      </c>
      <c r="C123" s="1" t="str">
        <f t="shared" si="5"/>
        <v>2023</v>
      </c>
      <c r="D123" t="s">
        <v>38</v>
      </c>
      <c r="E123" t="s">
        <v>15</v>
      </c>
      <c r="F123" t="s">
        <v>35</v>
      </c>
      <c r="G123">
        <v>4232.8100000000004</v>
      </c>
      <c r="H123">
        <v>4345.25</v>
      </c>
      <c r="I123">
        <v>39</v>
      </c>
      <c r="J123">
        <f t="shared" si="6"/>
        <v>169464.75</v>
      </c>
      <c r="K123">
        <f t="shared" si="7"/>
        <v>4385.1599999999844</v>
      </c>
      <c r="L123" t="s">
        <v>17</v>
      </c>
      <c r="M123" t="s">
        <v>27</v>
      </c>
      <c r="N123" t="s">
        <v>19</v>
      </c>
    </row>
    <row r="124" spans="1:14" x14ac:dyDescent="0.3">
      <c r="A124" s="1">
        <v>44965</v>
      </c>
      <c r="B124" s="1" t="str">
        <f t="shared" si="4"/>
        <v>Feb</v>
      </c>
      <c r="C124" s="1" t="str">
        <f t="shared" si="5"/>
        <v>2023</v>
      </c>
      <c r="D124" t="s">
        <v>33</v>
      </c>
      <c r="E124" t="s">
        <v>21</v>
      </c>
      <c r="F124" t="s">
        <v>29</v>
      </c>
      <c r="G124">
        <v>3197.76</v>
      </c>
      <c r="H124">
        <v>3572.61</v>
      </c>
      <c r="I124">
        <v>27</v>
      </c>
      <c r="J124">
        <f t="shared" si="6"/>
        <v>96460.47</v>
      </c>
      <c r="K124">
        <f t="shared" si="7"/>
        <v>10120.949999999997</v>
      </c>
      <c r="L124" t="s">
        <v>17</v>
      </c>
      <c r="M124" t="s">
        <v>31</v>
      </c>
      <c r="N124" t="s">
        <v>19</v>
      </c>
    </row>
    <row r="125" spans="1:14" x14ac:dyDescent="0.3">
      <c r="A125" s="1">
        <v>44965</v>
      </c>
      <c r="B125" s="1" t="str">
        <f t="shared" si="4"/>
        <v>Feb</v>
      </c>
      <c r="C125" s="1" t="str">
        <f t="shared" si="5"/>
        <v>2023</v>
      </c>
      <c r="D125" t="s">
        <v>42</v>
      </c>
      <c r="E125" t="s">
        <v>25</v>
      </c>
      <c r="F125" t="s">
        <v>16</v>
      </c>
      <c r="G125">
        <v>3026.85</v>
      </c>
      <c r="H125">
        <v>3183.58</v>
      </c>
      <c r="I125">
        <v>49</v>
      </c>
      <c r="J125">
        <f t="shared" si="6"/>
        <v>155995.41999999998</v>
      </c>
      <c r="K125">
        <f t="shared" si="7"/>
        <v>7679.77</v>
      </c>
      <c r="L125" t="s">
        <v>17</v>
      </c>
      <c r="M125" t="s">
        <v>18</v>
      </c>
      <c r="N125" t="s">
        <v>22</v>
      </c>
    </row>
    <row r="126" spans="1:14" x14ac:dyDescent="0.3">
      <c r="A126" s="1">
        <v>44965</v>
      </c>
      <c r="B126" s="1" t="str">
        <f t="shared" si="4"/>
        <v>Feb</v>
      </c>
      <c r="C126" s="1" t="str">
        <f t="shared" si="5"/>
        <v>2023</v>
      </c>
      <c r="D126" t="s">
        <v>33</v>
      </c>
      <c r="E126" t="s">
        <v>15</v>
      </c>
      <c r="F126" t="s">
        <v>29</v>
      </c>
      <c r="G126">
        <v>3542.18</v>
      </c>
      <c r="H126">
        <v>3578.49</v>
      </c>
      <c r="I126">
        <v>44</v>
      </c>
      <c r="J126">
        <f t="shared" si="6"/>
        <v>157453.56</v>
      </c>
      <c r="K126">
        <f t="shared" si="7"/>
        <v>1597.6399999999976</v>
      </c>
      <c r="L126" t="s">
        <v>17</v>
      </c>
      <c r="M126" t="s">
        <v>18</v>
      </c>
      <c r="N126" t="s">
        <v>19</v>
      </c>
    </row>
    <row r="127" spans="1:14" x14ac:dyDescent="0.3">
      <c r="A127" s="1">
        <v>44966</v>
      </c>
      <c r="B127" s="1" t="str">
        <f t="shared" si="4"/>
        <v>Feb</v>
      </c>
      <c r="C127" s="1" t="str">
        <f t="shared" si="5"/>
        <v>2023</v>
      </c>
      <c r="D127" t="s">
        <v>33</v>
      </c>
      <c r="E127" t="s">
        <v>34</v>
      </c>
      <c r="F127" t="s">
        <v>35</v>
      </c>
      <c r="G127">
        <v>184.05</v>
      </c>
      <c r="H127">
        <v>675.91</v>
      </c>
      <c r="I127">
        <v>29</v>
      </c>
      <c r="J127">
        <f t="shared" si="6"/>
        <v>19601.39</v>
      </c>
      <c r="K127">
        <f t="shared" si="7"/>
        <v>14263.939999999999</v>
      </c>
      <c r="L127" t="s">
        <v>17</v>
      </c>
      <c r="M127" t="s">
        <v>18</v>
      </c>
      <c r="N127" t="s">
        <v>22</v>
      </c>
    </row>
    <row r="128" spans="1:14" x14ac:dyDescent="0.3">
      <c r="A128" s="1">
        <v>44966</v>
      </c>
      <c r="B128" s="1" t="str">
        <f t="shared" si="4"/>
        <v>Feb</v>
      </c>
      <c r="C128" s="1" t="str">
        <f t="shared" si="5"/>
        <v>2023</v>
      </c>
      <c r="D128" t="s">
        <v>42</v>
      </c>
      <c r="E128" t="s">
        <v>34</v>
      </c>
      <c r="F128" t="s">
        <v>16</v>
      </c>
      <c r="G128">
        <v>3899.7</v>
      </c>
      <c r="H128">
        <v>4228.18</v>
      </c>
      <c r="I128">
        <v>16</v>
      </c>
      <c r="J128">
        <f t="shared" si="6"/>
        <v>67650.880000000005</v>
      </c>
      <c r="K128">
        <f t="shared" si="7"/>
        <v>5255.6800000000076</v>
      </c>
      <c r="L128" t="s">
        <v>30</v>
      </c>
      <c r="M128" t="s">
        <v>18</v>
      </c>
      <c r="N128" t="s">
        <v>22</v>
      </c>
    </row>
    <row r="129" spans="1:14" x14ac:dyDescent="0.3">
      <c r="A129" s="1">
        <v>44966</v>
      </c>
      <c r="B129" s="1" t="str">
        <f t="shared" si="4"/>
        <v>Feb</v>
      </c>
      <c r="C129" s="1" t="str">
        <f t="shared" si="5"/>
        <v>2023</v>
      </c>
      <c r="D129" t="s">
        <v>24</v>
      </c>
      <c r="E129" t="s">
        <v>25</v>
      </c>
      <c r="F129" t="s">
        <v>26</v>
      </c>
      <c r="G129">
        <v>2014.11</v>
      </c>
      <c r="H129">
        <v>2056.35</v>
      </c>
      <c r="I129">
        <v>20</v>
      </c>
      <c r="J129">
        <f t="shared" si="6"/>
        <v>41127</v>
      </c>
      <c r="K129">
        <f t="shared" si="7"/>
        <v>844.80000000000018</v>
      </c>
      <c r="L129" t="s">
        <v>17</v>
      </c>
      <c r="M129" t="s">
        <v>27</v>
      </c>
      <c r="N129" t="s">
        <v>22</v>
      </c>
    </row>
    <row r="130" spans="1:14" x14ac:dyDescent="0.3">
      <c r="A130" s="1">
        <v>44966</v>
      </c>
      <c r="B130" s="1" t="str">
        <f t="shared" ref="B130:B193" si="8">TEXT(A130,"MMM")</f>
        <v>Feb</v>
      </c>
      <c r="C130" s="1" t="str">
        <f t="shared" ref="C130:C193" si="9">TEXT(A130,"YYYY")</f>
        <v>2023</v>
      </c>
      <c r="D130" t="s">
        <v>33</v>
      </c>
      <c r="E130" t="s">
        <v>34</v>
      </c>
      <c r="F130" t="s">
        <v>16</v>
      </c>
      <c r="G130">
        <v>1216.1600000000001</v>
      </c>
      <c r="H130">
        <v>1295.3699999999999</v>
      </c>
      <c r="I130">
        <v>3</v>
      </c>
      <c r="J130">
        <f t="shared" ref="J130:J193" si="10">(I130*H130)</f>
        <v>3886.1099999999997</v>
      </c>
      <c r="K130">
        <f t="shared" ref="K130:K193" si="11">(H130-G130)*I130</f>
        <v>237.62999999999943</v>
      </c>
      <c r="L130" t="s">
        <v>30</v>
      </c>
      <c r="M130" t="s">
        <v>18</v>
      </c>
      <c r="N130" t="s">
        <v>22</v>
      </c>
    </row>
    <row r="131" spans="1:14" x14ac:dyDescent="0.3">
      <c r="A131" s="1">
        <v>44966</v>
      </c>
      <c r="B131" s="1" t="str">
        <f t="shared" si="8"/>
        <v>Feb</v>
      </c>
      <c r="C131" s="1" t="str">
        <f t="shared" si="9"/>
        <v>2023</v>
      </c>
      <c r="D131" t="s">
        <v>24</v>
      </c>
      <c r="E131" t="s">
        <v>21</v>
      </c>
      <c r="F131" t="s">
        <v>16</v>
      </c>
      <c r="G131">
        <v>2037.41</v>
      </c>
      <c r="H131">
        <v>2238.65</v>
      </c>
      <c r="I131">
        <v>34</v>
      </c>
      <c r="J131">
        <f t="shared" si="10"/>
        <v>76114.100000000006</v>
      </c>
      <c r="K131">
        <f t="shared" si="11"/>
        <v>6842.16</v>
      </c>
      <c r="L131" t="s">
        <v>30</v>
      </c>
      <c r="M131" t="s">
        <v>31</v>
      </c>
      <c r="N131" t="s">
        <v>19</v>
      </c>
    </row>
    <row r="132" spans="1:14" x14ac:dyDescent="0.3">
      <c r="A132" s="1">
        <v>44966</v>
      </c>
      <c r="B132" s="1" t="str">
        <f t="shared" si="8"/>
        <v>Feb</v>
      </c>
      <c r="C132" s="1" t="str">
        <f t="shared" si="9"/>
        <v>2023</v>
      </c>
      <c r="D132" t="s">
        <v>42</v>
      </c>
      <c r="E132" t="s">
        <v>25</v>
      </c>
      <c r="F132" t="s">
        <v>29</v>
      </c>
      <c r="G132">
        <v>3586.58</v>
      </c>
      <c r="H132">
        <v>4068.43</v>
      </c>
      <c r="I132">
        <v>14</v>
      </c>
      <c r="J132">
        <f t="shared" si="10"/>
        <v>56958.02</v>
      </c>
      <c r="K132">
        <f t="shared" si="11"/>
        <v>6745.8999999999987</v>
      </c>
      <c r="L132" t="s">
        <v>30</v>
      </c>
      <c r="M132" t="s">
        <v>31</v>
      </c>
      <c r="N132" t="s">
        <v>19</v>
      </c>
    </row>
    <row r="133" spans="1:14" x14ac:dyDescent="0.3">
      <c r="A133" s="1">
        <v>44967</v>
      </c>
      <c r="B133" s="1" t="str">
        <f t="shared" si="8"/>
        <v>Feb</v>
      </c>
      <c r="C133" s="1" t="str">
        <f t="shared" si="9"/>
        <v>2023</v>
      </c>
      <c r="D133" t="s">
        <v>24</v>
      </c>
      <c r="E133" t="s">
        <v>34</v>
      </c>
      <c r="F133" t="s">
        <v>29</v>
      </c>
      <c r="G133">
        <v>1493.88</v>
      </c>
      <c r="H133">
        <v>1781.09</v>
      </c>
      <c r="I133">
        <v>13</v>
      </c>
      <c r="J133">
        <f t="shared" si="10"/>
        <v>23154.17</v>
      </c>
      <c r="K133">
        <f t="shared" si="11"/>
        <v>3733.7299999999977</v>
      </c>
      <c r="L133" t="s">
        <v>30</v>
      </c>
      <c r="M133" t="s">
        <v>18</v>
      </c>
      <c r="N133" t="s">
        <v>22</v>
      </c>
    </row>
    <row r="134" spans="1:14" x14ac:dyDescent="0.3">
      <c r="A134" s="1">
        <v>44967</v>
      </c>
      <c r="B134" s="1" t="str">
        <f t="shared" si="8"/>
        <v>Feb</v>
      </c>
      <c r="C134" s="1" t="str">
        <f t="shared" si="9"/>
        <v>2023</v>
      </c>
      <c r="D134" t="s">
        <v>14</v>
      </c>
      <c r="E134" t="s">
        <v>21</v>
      </c>
      <c r="F134" t="s">
        <v>16</v>
      </c>
      <c r="G134">
        <v>1080.1199999999999</v>
      </c>
      <c r="H134">
        <v>1424.1699999999901</v>
      </c>
      <c r="I134">
        <v>42</v>
      </c>
      <c r="J134">
        <f t="shared" si="10"/>
        <v>59815.139999999585</v>
      </c>
      <c r="K134">
        <f t="shared" si="11"/>
        <v>14450.099999999587</v>
      </c>
      <c r="L134" t="s">
        <v>30</v>
      </c>
      <c r="M134" t="s">
        <v>18</v>
      </c>
      <c r="N134" t="s">
        <v>19</v>
      </c>
    </row>
    <row r="135" spans="1:14" x14ac:dyDescent="0.3">
      <c r="A135" s="1">
        <v>44967</v>
      </c>
      <c r="B135" s="1" t="str">
        <f t="shared" si="8"/>
        <v>Feb</v>
      </c>
      <c r="C135" s="1" t="str">
        <f t="shared" si="9"/>
        <v>2023</v>
      </c>
      <c r="D135" t="s">
        <v>14</v>
      </c>
      <c r="E135" t="s">
        <v>34</v>
      </c>
      <c r="F135" t="s">
        <v>16</v>
      </c>
      <c r="G135">
        <v>3681.53</v>
      </c>
      <c r="H135">
        <v>4076.96</v>
      </c>
      <c r="I135">
        <v>47</v>
      </c>
      <c r="J135">
        <f t="shared" si="10"/>
        <v>191617.12</v>
      </c>
      <c r="K135">
        <f t="shared" si="11"/>
        <v>18585.209999999992</v>
      </c>
      <c r="L135" t="s">
        <v>17</v>
      </c>
      <c r="M135" t="s">
        <v>18</v>
      </c>
      <c r="N135" t="s">
        <v>22</v>
      </c>
    </row>
    <row r="136" spans="1:14" x14ac:dyDescent="0.3">
      <c r="A136" s="1">
        <v>44968</v>
      </c>
      <c r="B136" s="1" t="str">
        <f t="shared" si="8"/>
        <v>Feb</v>
      </c>
      <c r="C136" s="1" t="str">
        <f t="shared" si="9"/>
        <v>2023</v>
      </c>
      <c r="D136" t="s">
        <v>24</v>
      </c>
      <c r="E136" t="s">
        <v>21</v>
      </c>
      <c r="F136" t="s">
        <v>26</v>
      </c>
      <c r="G136">
        <v>2257.48</v>
      </c>
      <c r="H136">
        <v>2747.81</v>
      </c>
      <c r="I136">
        <v>44</v>
      </c>
      <c r="J136">
        <f t="shared" si="10"/>
        <v>120903.64</v>
      </c>
      <c r="K136">
        <f t="shared" si="11"/>
        <v>21574.519999999997</v>
      </c>
      <c r="L136" t="s">
        <v>17</v>
      </c>
      <c r="M136" t="s">
        <v>18</v>
      </c>
      <c r="N136" t="s">
        <v>19</v>
      </c>
    </row>
    <row r="137" spans="1:14" x14ac:dyDescent="0.3">
      <c r="A137" s="1">
        <v>44968</v>
      </c>
      <c r="B137" s="1" t="str">
        <f t="shared" si="8"/>
        <v>Feb</v>
      </c>
      <c r="C137" s="1" t="str">
        <f t="shared" si="9"/>
        <v>2023</v>
      </c>
      <c r="D137" t="s">
        <v>33</v>
      </c>
      <c r="E137" t="s">
        <v>21</v>
      </c>
      <c r="F137" t="s">
        <v>26</v>
      </c>
      <c r="G137">
        <v>900.79</v>
      </c>
      <c r="H137">
        <v>1106.51</v>
      </c>
      <c r="I137">
        <v>32</v>
      </c>
      <c r="J137">
        <f t="shared" si="10"/>
        <v>35408.32</v>
      </c>
      <c r="K137">
        <f t="shared" si="11"/>
        <v>6583.0400000000009</v>
      </c>
      <c r="L137" t="s">
        <v>30</v>
      </c>
      <c r="M137" t="s">
        <v>18</v>
      </c>
      <c r="N137" t="s">
        <v>19</v>
      </c>
    </row>
    <row r="138" spans="1:14" x14ac:dyDescent="0.3">
      <c r="A138" s="1">
        <v>44968</v>
      </c>
      <c r="B138" s="1" t="str">
        <f t="shared" si="8"/>
        <v>Feb</v>
      </c>
      <c r="C138" s="1" t="str">
        <f t="shared" si="9"/>
        <v>2023</v>
      </c>
      <c r="D138" t="s">
        <v>42</v>
      </c>
      <c r="E138" t="s">
        <v>34</v>
      </c>
      <c r="F138" t="s">
        <v>29</v>
      </c>
      <c r="G138">
        <v>2521.0300000000002</v>
      </c>
      <c r="H138">
        <v>2766.05</v>
      </c>
      <c r="I138">
        <v>24</v>
      </c>
      <c r="J138">
        <f t="shared" si="10"/>
        <v>66385.200000000012</v>
      </c>
      <c r="K138">
        <f t="shared" si="11"/>
        <v>5880.48</v>
      </c>
      <c r="L138" t="s">
        <v>17</v>
      </c>
      <c r="M138" t="s">
        <v>27</v>
      </c>
      <c r="N138" t="s">
        <v>22</v>
      </c>
    </row>
    <row r="139" spans="1:14" x14ac:dyDescent="0.3">
      <c r="A139" s="1">
        <v>44968</v>
      </c>
      <c r="B139" s="1" t="str">
        <f t="shared" si="8"/>
        <v>Feb</v>
      </c>
      <c r="C139" s="1" t="str">
        <f t="shared" si="9"/>
        <v>2023</v>
      </c>
      <c r="D139" t="s">
        <v>38</v>
      </c>
      <c r="E139" t="s">
        <v>25</v>
      </c>
      <c r="F139" t="s">
        <v>35</v>
      </c>
      <c r="G139">
        <v>667</v>
      </c>
      <c r="H139">
        <v>718.72</v>
      </c>
      <c r="I139">
        <v>26</v>
      </c>
      <c r="J139">
        <f t="shared" si="10"/>
        <v>18686.72</v>
      </c>
      <c r="K139">
        <f t="shared" si="11"/>
        <v>1344.7200000000007</v>
      </c>
      <c r="L139" t="s">
        <v>30</v>
      </c>
      <c r="M139" t="s">
        <v>18</v>
      </c>
      <c r="N139" t="s">
        <v>22</v>
      </c>
    </row>
    <row r="140" spans="1:14" x14ac:dyDescent="0.3">
      <c r="A140" s="1">
        <v>44968</v>
      </c>
      <c r="B140" s="1" t="str">
        <f t="shared" si="8"/>
        <v>Feb</v>
      </c>
      <c r="C140" s="1" t="str">
        <f t="shared" si="9"/>
        <v>2023</v>
      </c>
      <c r="D140" t="s">
        <v>33</v>
      </c>
      <c r="E140" t="s">
        <v>21</v>
      </c>
      <c r="F140" t="s">
        <v>16</v>
      </c>
      <c r="G140">
        <v>710.06</v>
      </c>
      <c r="H140">
        <v>851.349999999999</v>
      </c>
      <c r="I140">
        <v>48</v>
      </c>
      <c r="J140">
        <f t="shared" si="10"/>
        <v>40864.799999999952</v>
      </c>
      <c r="K140">
        <f t="shared" si="11"/>
        <v>6781.9199999999546</v>
      </c>
      <c r="L140" t="s">
        <v>17</v>
      </c>
      <c r="M140" t="s">
        <v>27</v>
      </c>
      <c r="N140" t="s">
        <v>19</v>
      </c>
    </row>
    <row r="141" spans="1:14" x14ac:dyDescent="0.3">
      <c r="A141" s="1">
        <v>44970</v>
      </c>
      <c r="B141" s="1" t="str">
        <f t="shared" si="8"/>
        <v>Feb</v>
      </c>
      <c r="C141" s="1" t="str">
        <f t="shared" si="9"/>
        <v>2023</v>
      </c>
      <c r="D141" t="s">
        <v>38</v>
      </c>
      <c r="E141" t="s">
        <v>15</v>
      </c>
      <c r="F141" t="s">
        <v>29</v>
      </c>
      <c r="G141">
        <v>604.08000000000004</v>
      </c>
      <c r="H141">
        <v>624.71</v>
      </c>
      <c r="I141">
        <v>17</v>
      </c>
      <c r="J141">
        <f t="shared" si="10"/>
        <v>10620.07</v>
      </c>
      <c r="K141">
        <f t="shared" si="11"/>
        <v>350.70999999999992</v>
      </c>
      <c r="L141" t="s">
        <v>30</v>
      </c>
      <c r="M141" t="s">
        <v>27</v>
      </c>
      <c r="N141" t="s">
        <v>22</v>
      </c>
    </row>
    <row r="142" spans="1:14" x14ac:dyDescent="0.3">
      <c r="A142" s="1">
        <v>44971</v>
      </c>
      <c r="B142" s="1" t="str">
        <f t="shared" si="8"/>
        <v>Feb</v>
      </c>
      <c r="C142" s="1" t="str">
        <f t="shared" si="9"/>
        <v>2023</v>
      </c>
      <c r="D142" t="s">
        <v>24</v>
      </c>
      <c r="E142" t="s">
        <v>21</v>
      </c>
      <c r="F142" t="s">
        <v>35</v>
      </c>
      <c r="G142">
        <v>2221.31</v>
      </c>
      <c r="H142">
        <v>2494.48</v>
      </c>
      <c r="I142">
        <v>12</v>
      </c>
      <c r="J142">
        <f t="shared" si="10"/>
        <v>29933.760000000002</v>
      </c>
      <c r="K142">
        <f t="shared" si="11"/>
        <v>3278.0400000000009</v>
      </c>
      <c r="L142" t="s">
        <v>17</v>
      </c>
      <c r="M142" t="s">
        <v>27</v>
      </c>
      <c r="N142" t="s">
        <v>19</v>
      </c>
    </row>
    <row r="143" spans="1:14" x14ac:dyDescent="0.3">
      <c r="A143" s="1">
        <v>44971</v>
      </c>
      <c r="B143" s="1" t="str">
        <f t="shared" si="8"/>
        <v>Feb</v>
      </c>
      <c r="C143" s="1" t="str">
        <f t="shared" si="9"/>
        <v>2023</v>
      </c>
      <c r="D143" t="s">
        <v>24</v>
      </c>
      <c r="E143" t="s">
        <v>25</v>
      </c>
      <c r="F143" t="s">
        <v>29</v>
      </c>
      <c r="G143">
        <v>1517.86</v>
      </c>
      <c r="H143">
        <v>1948.46</v>
      </c>
      <c r="I143">
        <v>32</v>
      </c>
      <c r="J143">
        <f t="shared" si="10"/>
        <v>62350.720000000001</v>
      </c>
      <c r="K143">
        <f t="shared" si="11"/>
        <v>13779.200000000004</v>
      </c>
      <c r="L143" t="s">
        <v>30</v>
      </c>
      <c r="M143" t="s">
        <v>31</v>
      </c>
      <c r="N143" t="s">
        <v>19</v>
      </c>
    </row>
    <row r="144" spans="1:14" x14ac:dyDescent="0.3">
      <c r="A144" s="1">
        <v>44972</v>
      </c>
      <c r="B144" s="1" t="str">
        <f t="shared" si="8"/>
        <v>Feb</v>
      </c>
      <c r="C144" s="1" t="str">
        <f t="shared" si="9"/>
        <v>2023</v>
      </c>
      <c r="D144" t="s">
        <v>24</v>
      </c>
      <c r="E144" t="s">
        <v>25</v>
      </c>
      <c r="F144" t="s">
        <v>29</v>
      </c>
      <c r="G144">
        <v>1588.04</v>
      </c>
      <c r="H144">
        <v>1703.6399999999901</v>
      </c>
      <c r="I144">
        <v>45</v>
      </c>
      <c r="J144">
        <f t="shared" si="10"/>
        <v>76663.799999999552</v>
      </c>
      <c r="K144">
        <f t="shared" si="11"/>
        <v>5201.9999999995562</v>
      </c>
      <c r="L144" t="s">
        <v>30</v>
      </c>
      <c r="M144" t="s">
        <v>27</v>
      </c>
      <c r="N144" t="s">
        <v>22</v>
      </c>
    </row>
    <row r="145" spans="1:14" x14ac:dyDescent="0.3">
      <c r="A145" s="1">
        <v>44972</v>
      </c>
      <c r="B145" s="1" t="str">
        <f t="shared" si="8"/>
        <v>Feb</v>
      </c>
      <c r="C145" s="1" t="str">
        <f t="shared" si="9"/>
        <v>2023</v>
      </c>
      <c r="D145" t="s">
        <v>42</v>
      </c>
      <c r="E145" t="s">
        <v>25</v>
      </c>
      <c r="F145" t="s">
        <v>16</v>
      </c>
      <c r="G145">
        <v>1138.32</v>
      </c>
      <c r="H145">
        <v>1266.25</v>
      </c>
      <c r="I145">
        <v>31</v>
      </c>
      <c r="J145">
        <f t="shared" si="10"/>
        <v>39253.75</v>
      </c>
      <c r="K145">
        <f t="shared" si="11"/>
        <v>3965.8300000000017</v>
      </c>
      <c r="L145" t="s">
        <v>17</v>
      </c>
      <c r="M145" t="s">
        <v>18</v>
      </c>
      <c r="N145" t="s">
        <v>22</v>
      </c>
    </row>
    <row r="146" spans="1:14" x14ac:dyDescent="0.3">
      <c r="A146" s="1">
        <v>44972</v>
      </c>
      <c r="B146" s="1" t="str">
        <f t="shared" si="8"/>
        <v>Feb</v>
      </c>
      <c r="C146" s="1" t="str">
        <f t="shared" si="9"/>
        <v>2023</v>
      </c>
      <c r="D146" t="s">
        <v>14</v>
      </c>
      <c r="E146" t="s">
        <v>21</v>
      </c>
      <c r="F146" t="s">
        <v>16</v>
      </c>
      <c r="G146">
        <v>1304.23</v>
      </c>
      <c r="H146">
        <v>1705.71</v>
      </c>
      <c r="I146">
        <v>1</v>
      </c>
      <c r="J146">
        <f t="shared" si="10"/>
        <v>1705.71</v>
      </c>
      <c r="K146">
        <f t="shared" si="11"/>
        <v>401.48</v>
      </c>
      <c r="L146" t="s">
        <v>17</v>
      </c>
      <c r="M146" t="s">
        <v>18</v>
      </c>
      <c r="N146" t="s">
        <v>22</v>
      </c>
    </row>
    <row r="147" spans="1:14" x14ac:dyDescent="0.3">
      <c r="A147" s="1">
        <v>44972</v>
      </c>
      <c r="B147" s="1" t="str">
        <f t="shared" si="8"/>
        <v>Feb</v>
      </c>
      <c r="C147" s="1" t="str">
        <f t="shared" si="9"/>
        <v>2023</v>
      </c>
      <c r="D147" t="s">
        <v>33</v>
      </c>
      <c r="E147" t="s">
        <v>25</v>
      </c>
      <c r="F147" t="s">
        <v>26</v>
      </c>
      <c r="G147">
        <v>3450.36</v>
      </c>
      <c r="H147">
        <v>3557.38</v>
      </c>
      <c r="I147">
        <v>47</v>
      </c>
      <c r="J147">
        <f t="shared" si="10"/>
        <v>167196.86000000002</v>
      </c>
      <c r="K147">
        <f t="shared" si="11"/>
        <v>5029.9399999999987</v>
      </c>
      <c r="L147" t="s">
        <v>30</v>
      </c>
      <c r="M147" t="s">
        <v>31</v>
      </c>
      <c r="N147" t="s">
        <v>19</v>
      </c>
    </row>
    <row r="148" spans="1:14" x14ac:dyDescent="0.3">
      <c r="A148" s="1">
        <v>44973</v>
      </c>
      <c r="B148" s="1" t="str">
        <f t="shared" si="8"/>
        <v>Feb</v>
      </c>
      <c r="C148" s="1" t="str">
        <f t="shared" si="9"/>
        <v>2023</v>
      </c>
      <c r="D148" t="s">
        <v>24</v>
      </c>
      <c r="E148" t="s">
        <v>34</v>
      </c>
      <c r="F148" t="s">
        <v>16</v>
      </c>
      <c r="G148">
        <v>2265.38</v>
      </c>
      <c r="H148">
        <v>2429.9299999999998</v>
      </c>
      <c r="I148">
        <v>47</v>
      </c>
      <c r="J148">
        <f t="shared" si="10"/>
        <v>114206.70999999999</v>
      </c>
      <c r="K148">
        <f t="shared" si="11"/>
        <v>7733.8499999999876</v>
      </c>
      <c r="L148" t="s">
        <v>17</v>
      </c>
      <c r="M148" t="s">
        <v>27</v>
      </c>
      <c r="N148" t="s">
        <v>19</v>
      </c>
    </row>
    <row r="149" spans="1:14" x14ac:dyDescent="0.3">
      <c r="A149" s="1">
        <v>44973</v>
      </c>
      <c r="B149" s="1" t="str">
        <f t="shared" si="8"/>
        <v>Feb</v>
      </c>
      <c r="C149" s="1" t="str">
        <f t="shared" si="9"/>
        <v>2023</v>
      </c>
      <c r="D149" t="s">
        <v>14</v>
      </c>
      <c r="E149" t="s">
        <v>34</v>
      </c>
      <c r="F149" t="s">
        <v>35</v>
      </c>
      <c r="G149">
        <v>1969.09</v>
      </c>
      <c r="H149">
        <v>2241.96</v>
      </c>
      <c r="I149">
        <v>24</v>
      </c>
      <c r="J149">
        <f t="shared" si="10"/>
        <v>53807.040000000001</v>
      </c>
      <c r="K149">
        <f t="shared" si="11"/>
        <v>6548.8800000000028</v>
      </c>
      <c r="L149" t="s">
        <v>17</v>
      </c>
      <c r="M149" t="s">
        <v>31</v>
      </c>
      <c r="N149" t="s">
        <v>19</v>
      </c>
    </row>
    <row r="150" spans="1:14" x14ac:dyDescent="0.3">
      <c r="A150" s="1">
        <v>44973</v>
      </c>
      <c r="B150" s="1" t="str">
        <f t="shared" si="8"/>
        <v>Feb</v>
      </c>
      <c r="C150" s="1" t="str">
        <f t="shared" si="9"/>
        <v>2023</v>
      </c>
      <c r="D150" t="s">
        <v>24</v>
      </c>
      <c r="E150" t="s">
        <v>25</v>
      </c>
      <c r="F150" t="s">
        <v>26</v>
      </c>
      <c r="G150">
        <v>3373.46</v>
      </c>
      <c r="H150">
        <v>3454.76</v>
      </c>
      <c r="I150">
        <v>22</v>
      </c>
      <c r="J150">
        <f t="shared" si="10"/>
        <v>76004.72</v>
      </c>
      <c r="K150">
        <f t="shared" si="11"/>
        <v>1788.600000000004</v>
      </c>
      <c r="L150" t="s">
        <v>17</v>
      </c>
      <c r="M150" t="s">
        <v>27</v>
      </c>
      <c r="N150" t="s">
        <v>22</v>
      </c>
    </row>
    <row r="151" spans="1:14" x14ac:dyDescent="0.3">
      <c r="A151" s="1">
        <v>44973</v>
      </c>
      <c r="B151" s="1" t="str">
        <f t="shared" si="8"/>
        <v>Feb</v>
      </c>
      <c r="C151" s="1" t="str">
        <f t="shared" si="9"/>
        <v>2023</v>
      </c>
      <c r="D151" t="s">
        <v>38</v>
      </c>
      <c r="E151" t="s">
        <v>21</v>
      </c>
      <c r="F151" t="s">
        <v>16</v>
      </c>
      <c r="G151">
        <v>1582.86</v>
      </c>
      <c r="H151">
        <v>1942.55</v>
      </c>
      <c r="I151">
        <v>11</v>
      </c>
      <c r="J151">
        <f t="shared" si="10"/>
        <v>21368.05</v>
      </c>
      <c r="K151">
        <f t="shared" si="11"/>
        <v>3956.5900000000006</v>
      </c>
      <c r="L151" t="s">
        <v>30</v>
      </c>
      <c r="M151" t="s">
        <v>31</v>
      </c>
      <c r="N151" t="s">
        <v>22</v>
      </c>
    </row>
    <row r="152" spans="1:14" x14ac:dyDescent="0.3">
      <c r="A152" s="1">
        <v>44975</v>
      </c>
      <c r="B152" s="1" t="str">
        <f t="shared" si="8"/>
        <v>Feb</v>
      </c>
      <c r="C152" s="1" t="str">
        <f t="shared" si="9"/>
        <v>2023</v>
      </c>
      <c r="D152" t="s">
        <v>24</v>
      </c>
      <c r="E152" t="s">
        <v>21</v>
      </c>
      <c r="F152" t="s">
        <v>29</v>
      </c>
      <c r="G152">
        <v>939.02</v>
      </c>
      <c r="H152">
        <v>1286.92</v>
      </c>
      <c r="I152">
        <v>27</v>
      </c>
      <c r="J152">
        <f t="shared" si="10"/>
        <v>34746.840000000004</v>
      </c>
      <c r="K152">
        <f t="shared" si="11"/>
        <v>9393.3000000000029</v>
      </c>
      <c r="L152" t="s">
        <v>17</v>
      </c>
      <c r="M152" t="s">
        <v>31</v>
      </c>
      <c r="N152" t="s">
        <v>22</v>
      </c>
    </row>
    <row r="153" spans="1:14" x14ac:dyDescent="0.3">
      <c r="A153" s="1">
        <v>44975</v>
      </c>
      <c r="B153" s="1" t="str">
        <f t="shared" si="8"/>
        <v>Feb</v>
      </c>
      <c r="C153" s="1" t="str">
        <f t="shared" si="9"/>
        <v>2023</v>
      </c>
      <c r="D153" t="s">
        <v>42</v>
      </c>
      <c r="E153" t="s">
        <v>25</v>
      </c>
      <c r="F153" t="s">
        <v>29</v>
      </c>
      <c r="G153">
        <v>1921.07</v>
      </c>
      <c r="H153">
        <v>2289.27</v>
      </c>
      <c r="I153">
        <v>34</v>
      </c>
      <c r="J153">
        <f t="shared" si="10"/>
        <v>77835.179999999993</v>
      </c>
      <c r="K153">
        <f t="shared" si="11"/>
        <v>12518.800000000001</v>
      </c>
      <c r="L153" t="s">
        <v>17</v>
      </c>
      <c r="M153" t="s">
        <v>27</v>
      </c>
      <c r="N153" t="s">
        <v>22</v>
      </c>
    </row>
    <row r="154" spans="1:14" x14ac:dyDescent="0.3">
      <c r="A154" s="1">
        <v>44976</v>
      </c>
      <c r="B154" s="1" t="str">
        <f t="shared" si="8"/>
        <v>Feb</v>
      </c>
      <c r="C154" s="1" t="str">
        <f t="shared" si="9"/>
        <v>2023</v>
      </c>
      <c r="D154" t="s">
        <v>42</v>
      </c>
      <c r="E154" t="s">
        <v>34</v>
      </c>
      <c r="F154" t="s">
        <v>35</v>
      </c>
      <c r="G154">
        <v>4974.1400000000003</v>
      </c>
      <c r="H154">
        <v>5227.93</v>
      </c>
      <c r="I154">
        <v>45</v>
      </c>
      <c r="J154">
        <f t="shared" si="10"/>
        <v>235256.85</v>
      </c>
      <c r="K154">
        <f t="shared" si="11"/>
        <v>11420.55</v>
      </c>
      <c r="L154" t="s">
        <v>30</v>
      </c>
      <c r="M154" t="s">
        <v>27</v>
      </c>
      <c r="N154" t="s">
        <v>19</v>
      </c>
    </row>
    <row r="155" spans="1:14" x14ac:dyDescent="0.3">
      <c r="A155" s="1">
        <v>44976</v>
      </c>
      <c r="B155" s="1" t="str">
        <f t="shared" si="8"/>
        <v>Feb</v>
      </c>
      <c r="C155" s="1" t="str">
        <f t="shared" si="9"/>
        <v>2023</v>
      </c>
      <c r="D155" t="s">
        <v>24</v>
      </c>
      <c r="E155" t="s">
        <v>21</v>
      </c>
      <c r="F155" t="s">
        <v>26</v>
      </c>
      <c r="G155">
        <v>465.61</v>
      </c>
      <c r="H155">
        <v>812.91</v>
      </c>
      <c r="I155">
        <v>35</v>
      </c>
      <c r="J155">
        <f t="shared" si="10"/>
        <v>28451.85</v>
      </c>
      <c r="K155">
        <f t="shared" si="11"/>
        <v>12155.499999999998</v>
      </c>
      <c r="L155" t="s">
        <v>30</v>
      </c>
      <c r="M155" t="s">
        <v>27</v>
      </c>
      <c r="N155" t="s">
        <v>19</v>
      </c>
    </row>
    <row r="156" spans="1:14" x14ac:dyDescent="0.3">
      <c r="A156" s="1">
        <v>44977</v>
      </c>
      <c r="B156" s="1" t="str">
        <f t="shared" si="8"/>
        <v>Feb</v>
      </c>
      <c r="C156" s="1" t="str">
        <f t="shared" si="9"/>
        <v>2023</v>
      </c>
      <c r="D156" t="s">
        <v>33</v>
      </c>
      <c r="E156" t="s">
        <v>21</v>
      </c>
      <c r="F156" t="s">
        <v>26</v>
      </c>
      <c r="G156">
        <v>508.94</v>
      </c>
      <c r="H156">
        <v>557.69000000000005</v>
      </c>
      <c r="I156">
        <v>26</v>
      </c>
      <c r="J156">
        <f t="shared" si="10"/>
        <v>14499.940000000002</v>
      </c>
      <c r="K156">
        <f t="shared" si="11"/>
        <v>1267.5000000000014</v>
      </c>
      <c r="L156" t="s">
        <v>30</v>
      </c>
      <c r="M156" t="s">
        <v>31</v>
      </c>
      <c r="N156" t="s">
        <v>22</v>
      </c>
    </row>
    <row r="157" spans="1:14" x14ac:dyDescent="0.3">
      <c r="A157" s="1">
        <v>44977</v>
      </c>
      <c r="B157" s="1" t="str">
        <f t="shared" si="8"/>
        <v>Feb</v>
      </c>
      <c r="C157" s="1" t="str">
        <f t="shared" si="9"/>
        <v>2023</v>
      </c>
      <c r="D157" t="s">
        <v>33</v>
      </c>
      <c r="E157" t="s">
        <v>15</v>
      </c>
      <c r="F157" t="s">
        <v>16</v>
      </c>
      <c r="G157">
        <v>102.23</v>
      </c>
      <c r="H157">
        <v>167.12</v>
      </c>
      <c r="I157">
        <v>16</v>
      </c>
      <c r="J157">
        <f t="shared" si="10"/>
        <v>2673.92</v>
      </c>
      <c r="K157">
        <f t="shared" si="11"/>
        <v>1038.24</v>
      </c>
      <c r="L157" t="s">
        <v>30</v>
      </c>
      <c r="M157" t="s">
        <v>31</v>
      </c>
      <c r="N157" t="s">
        <v>22</v>
      </c>
    </row>
    <row r="158" spans="1:14" x14ac:dyDescent="0.3">
      <c r="A158" s="1">
        <v>44978</v>
      </c>
      <c r="B158" s="1" t="str">
        <f t="shared" si="8"/>
        <v>Feb</v>
      </c>
      <c r="C158" s="1" t="str">
        <f t="shared" si="9"/>
        <v>2023</v>
      </c>
      <c r="D158" t="s">
        <v>42</v>
      </c>
      <c r="E158" t="s">
        <v>34</v>
      </c>
      <c r="F158" t="s">
        <v>35</v>
      </c>
      <c r="G158">
        <v>3570.24</v>
      </c>
      <c r="H158">
        <v>3712.25</v>
      </c>
      <c r="I158">
        <v>31</v>
      </c>
      <c r="J158">
        <f t="shared" si="10"/>
        <v>115079.75</v>
      </c>
      <c r="K158">
        <f t="shared" si="11"/>
        <v>4402.3100000000068</v>
      </c>
      <c r="L158" t="s">
        <v>30</v>
      </c>
      <c r="M158" t="s">
        <v>31</v>
      </c>
      <c r="N158" t="s">
        <v>19</v>
      </c>
    </row>
    <row r="159" spans="1:14" x14ac:dyDescent="0.3">
      <c r="A159" s="1">
        <v>44979</v>
      </c>
      <c r="B159" s="1" t="str">
        <f t="shared" si="8"/>
        <v>Feb</v>
      </c>
      <c r="C159" s="1" t="str">
        <f t="shared" si="9"/>
        <v>2023</v>
      </c>
      <c r="D159" t="s">
        <v>42</v>
      </c>
      <c r="E159" t="s">
        <v>25</v>
      </c>
      <c r="F159" t="s">
        <v>29</v>
      </c>
      <c r="G159">
        <v>2551.56</v>
      </c>
      <c r="H159">
        <v>2841.68</v>
      </c>
      <c r="I159">
        <v>46</v>
      </c>
      <c r="J159">
        <f t="shared" si="10"/>
        <v>130717.28</v>
      </c>
      <c r="K159">
        <f t="shared" si="11"/>
        <v>13345.519999999995</v>
      </c>
      <c r="L159" t="s">
        <v>30</v>
      </c>
      <c r="M159" t="s">
        <v>27</v>
      </c>
      <c r="N159" t="s">
        <v>22</v>
      </c>
    </row>
    <row r="160" spans="1:14" x14ac:dyDescent="0.3">
      <c r="A160" s="1">
        <v>44980</v>
      </c>
      <c r="B160" s="1" t="str">
        <f t="shared" si="8"/>
        <v>Feb</v>
      </c>
      <c r="C160" s="1" t="str">
        <f t="shared" si="9"/>
        <v>2023</v>
      </c>
      <c r="D160" t="s">
        <v>14</v>
      </c>
      <c r="E160" t="s">
        <v>21</v>
      </c>
      <c r="F160" t="s">
        <v>26</v>
      </c>
      <c r="G160">
        <v>4535.8599999999997</v>
      </c>
      <c r="H160">
        <v>4641.41</v>
      </c>
      <c r="I160">
        <v>47</v>
      </c>
      <c r="J160">
        <f t="shared" si="10"/>
        <v>218146.27</v>
      </c>
      <c r="K160">
        <f t="shared" si="11"/>
        <v>4960.8500000000085</v>
      </c>
      <c r="L160" t="s">
        <v>30</v>
      </c>
      <c r="M160" t="s">
        <v>31</v>
      </c>
      <c r="N160" t="s">
        <v>22</v>
      </c>
    </row>
    <row r="161" spans="1:14" x14ac:dyDescent="0.3">
      <c r="A161" s="1">
        <v>44980</v>
      </c>
      <c r="B161" s="1" t="str">
        <f t="shared" si="8"/>
        <v>Feb</v>
      </c>
      <c r="C161" s="1" t="str">
        <f t="shared" si="9"/>
        <v>2023</v>
      </c>
      <c r="D161" t="s">
        <v>38</v>
      </c>
      <c r="E161" t="s">
        <v>15</v>
      </c>
      <c r="F161" t="s">
        <v>16</v>
      </c>
      <c r="G161">
        <v>2116.09</v>
      </c>
      <c r="H161">
        <v>2472.98</v>
      </c>
      <c r="I161">
        <v>43</v>
      </c>
      <c r="J161">
        <f t="shared" si="10"/>
        <v>106338.14</v>
      </c>
      <c r="K161">
        <f t="shared" si="11"/>
        <v>15346.269999999995</v>
      </c>
      <c r="L161" t="s">
        <v>30</v>
      </c>
      <c r="M161" t="s">
        <v>31</v>
      </c>
      <c r="N161" t="s">
        <v>22</v>
      </c>
    </row>
    <row r="162" spans="1:14" x14ac:dyDescent="0.3">
      <c r="A162" s="1">
        <v>44981</v>
      </c>
      <c r="B162" s="1" t="str">
        <f t="shared" si="8"/>
        <v>Feb</v>
      </c>
      <c r="C162" s="1" t="str">
        <f t="shared" si="9"/>
        <v>2023</v>
      </c>
      <c r="D162" t="s">
        <v>38</v>
      </c>
      <c r="E162" t="s">
        <v>21</v>
      </c>
      <c r="F162" t="s">
        <v>35</v>
      </c>
      <c r="G162">
        <v>2269.3200000000002</v>
      </c>
      <c r="H162">
        <v>2365.35</v>
      </c>
      <c r="I162">
        <v>22</v>
      </c>
      <c r="J162">
        <f t="shared" si="10"/>
        <v>52037.7</v>
      </c>
      <c r="K162">
        <f t="shared" si="11"/>
        <v>2112.6599999999944</v>
      </c>
      <c r="L162" t="s">
        <v>30</v>
      </c>
      <c r="M162" t="s">
        <v>18</v>
      </c>
      <c r="N162" t="s">
        <v>22</v>
      </c>
    </row>
    <row r="163" spans="1:14" x14ac:dyDescent="0.3">
      <c r="A163" s="1">
        <v>44981</v>
      </c>
      <c r="B163" s="1" t="str">
        <f t="shared" si="8"/>
        <v>Feb</v>
      </c>
      <c r="C163" s="1" t="str">
        <f t="shared" si="9"/>
        <v>2023</v>
      </c>
      <c r="D163" t="s">
        <v>42</v>
      </c>
      <c r="E163" t="s">
        <v>15</v>
      </c>
      <c r="F163" t="s">
        <v>26</v>
      </c>
      <c r="G163">
        <v>2124.7199999999998</v>
      </c>
      <c r="H163">
        <v>2188.66</v>
      </c>
      <c r="I163">
        <v>43</v>
      </c>
      <c r="J163">
        <f t="shared" si="10"/>
        <v>94112.37999999999</v>
      </c>
      <c r="K163">
        <f t="shared" si="11"/>
        <v>2749.4200000000023</v>
      </c>
      <c r="L163" t="s">
        <v>17</v>
      </c>
      <c r="M163" t="s">
        <v>31</v>
      </c>
      <c r="N163" t="s">
        <v>22</v>
      </c>
    </row>
    <row r="164" spans="1:14" x14ac:dyDescent="0.3">
      <c r="A164" s="1">
        <v>44981</v>
      </c>
      <c r="B164" s="1" t="str">
        <f t="shared" si="8"/>
        <v>Feb</v>
      </c>
      <c r="C164" s="1" t="str">
        <f t="shared" si="9"/>
        <v>2023</v>
      </c>
      <c r="D164" t="s">
        <v>14</v>
      </c>
      <c r="E164" t="s">
        <v>15</v>
      </c>
      <c r="F164" t="s">
        <v>29</v>
      </c>
      <c r="G164">
        <v>3619.61</v>
      </c>
      <c r="H164">
        <v>3651.42</v>
      </c>
      <c r="I164">
        <v>22</v>
      </c>
      <c r="J164">
        <f t="shared" si="10"/>
        <v>80331.240000000005</v>
      </c>
      <c r="K164">
        <f t="shared" si="11"/>
        <v>699.8199999999988</v>
      </c>
      <c r="L164" t="s">
        <v>17</v>
      </c>
      <c r="M164" t="s">
        <v>27</v>
      </c>
      <c r="N164" t="s">
        <v>19</v>
      </c>
    </row>
    <row r="165" spans="1:14" x14ac:dyDescent="0.3">
      <c r="A165" s="1">
        <v>44981</v>
      </c>
      <c r="B165" s="1" t="str">
        <f t="shared" si="8"/>
        <v>Feb</v>
      </c>
      <c r="C165" s="1" t="str">
        <f t="shared" si="9"/>
        <v>2023</v>
      </c>
      <c r="D165" t="s">
        <v>14</v>
      </c>
      <c r="E165" t="s">
        <v>21</v>
      </c>
      <c r="F165" t="s">
        <v>16</v>
      </c>
      <c r="G165">
        <v>4122.38</v>
      </c>
      <c r="H165">
        <v>4358.78</v>
      </c>
      <c r="I165">
        <v>7</v>
      </c>
      <c r="J165">
        <f t="shared" si="10"/>
        <v>30511.46</v>
      </c>
      <c r="K165">
        <f t="shared" si="11"/>
        <v>1654.7999999999975</v>
      </c>
      <c r="L165" t="s">
        <v>17</v>
      </c>
      <c r="M165" t="s">
        <v>27</v>
      </c>
      <c r="N165" t="s">
        <v>22</v>
      </c>
    </row>
    <row r="166" spans="1:14" x14ac:dyDescent="0.3">
      <c r="A166" s="1">
        <v>44981</v>
      </c>
      <c r="B166" s="1" t="str">
        <f t="shared" si="8"/>
        <v>Feb</v>
      </c>
      <c r="C166" s="1" t="str">
        <f t="shared" si="9"/>
        <v>2023</v>
      </c>
      <c r="D166" t="s">
        <v>24</v>
      </c>
      <c r="E166" t="s">
        <v>34</v>
      </c>
      <c r="F166" t="s">
        <v>29</v>
      </c>
      <c r="G166">
        <v>2610.19</v>
      </c>
      <c r="H166">
        <v>2682.53</v>
      </c>
      <c r="I166">
        <v>35</v>
      </c>
      <c r="J166">
        <f t="shared" si="10"/>
        <v>93888.55</v>
      </c>
      <c r="K166">
        <f t="shared" si="11"/>
        <v>2531.9000000000051</v>
      </c>
      <c r="L166" t="s">
        <v>30</v>
      </c>
      <c r="M166" t="s">
        <v>18</v>
      </c>
      <c r="N166" t="s">
        <v>22</v>
      </c>
    </row>
    <row r="167" spans="1:14" x14ac:dyDescent="0.3">
      <c r="A167" s="1">
        <v>44982</v>
      </c>
      <c r="B167" s="1" t="str">
        <f t="shared" si="8"/>
        <v>Feb</v>
      </c>
      <c r="C167" s="1" t="str">
        <f t="shared" si="9"/>
        <v>2023</v>
      </c>
      <c r="D167" t="s">
        <v>38</v>
      </c>
      <c r="E167" t="s">
        <v>34</v>
      </c>
      <c r="F167" t="s">
        <v>26</v>
      </c>
      <c r="G167">
        <v>2757.06</v>
      </c>
      <c r="H167">
        <v>3023.97</v>
      </c>
      <c r="I167">
        <v>31</v>
      </c>
      <c r="J167">
        <f t="shared" si="10"/>
        <v>93743.069999999992</v>
      </c>
      <c r="K167">
        <f t="shared" si="11"/>
        <v>8274.2099999999955</v>
      </c>
      <c r="L167" t="s">
        <v>17</v>
      </c>
      <c r="M167" t="s">
        <v>18</v>
      </c>
      <c r="N167" t="s">
        <v>19</v>
      </c>
    </row>
    <row r="168" spans="1:14" x14ac:dyDescent="0.3">
      <c r="A168" s="1">
        <v>44983</v>
      </c>
      <c r="B168" s="1" t="str">
        <f t="shared" si="8"/>
        <v>Feb</v>
      </c>
      <c r="C168" s="1" t="str">
        <f t="shared" si="9"/>
        <v>2023</v>
      </c>
      <c r="D168" t="s">
        <v>14</v>
      </c>
      <c r="E168" t="s">
        <v>21</v>
      </c>
      <c r="F168" t="s">
        <v>35</v>
      </c>
      <c r="G168">
        <v>4934.1000000000004</v>
      </c>
      <c r="H168">
        <v>5191.0200000000004</v>
      </c>
      <c r="I168">
        <v>5</v>
      </c>
      <c r="J168">
        <f t="shared" si="10"/>
        <v>25955.100000000002</v>
      </c>
      <c r="K168">
        <f t="shared" si="11"/>
        <v>1284.6000000000004</v>
      </c>
      <c r="L168" t="s">
        <v>30</v>
      </c>
      <c r="M168" t="s">
        <v>27</v>
      </c>
      <c r="N168" t="s">
        <v>19</v>
      </c>
    </row>
    <row r="169" spans="1:14" x14ac:dyDescent="0.3">
      <c r="A169" s="1">
        <v>44984</v>
      </c>
      <c r="B169" s="1" t="str">
        <f t="shared" si="8"/>
        <v>Feb</v>
      </c>
      <c r="C169" s="1" t="str">
        <f t="shared" si="9"/>
        <v>2023</v>
      </c>
      <c r="D169" t="s">
        <v>42</v>
      </c>
      <c r="E169" t="s">
        <v>21</v>
      </c>
      <c r="F169" t="s">
        <v>29</v>
      </c>
      <c r="G169">
        <v>3617.59</v>
      </c>
      <c r="H169">
        <v>4003.5</v>
      </c>
      <c r="I169">
        <v>20</v>
      </c>
      <c r="J169">
        <f t="shared" si="10"/>
        <v>80070</v>
      </c>
      <c r="K169">
        <f t="shared" si="11"/>
        <v>7718.1999999999971</v>
      </c>
      <c r="L169" t="s">
        <v>30</v>
      </c>
      <c r="M169" t="s">
        <v>31</v>
      </c>
      <c r="N169" t="s">
        <v>22</v>
      </c>
    </row>
    <row r="170" spans="1:14" x14ac:dyDescent="0.3">
      <c r="A170" s="1">
        <v>44984</v>
      </c>
      <c r="B170" s="1" t="str">
        <f t="shared" si="8"/>
        <v>Feb</v>
      </c>
      <c r="C170" s="1" t="str">
        <f t="shared" si="9"/>
        <v>2023</v>
      </c>
      <c r="D170" t="s">
        <v>38</v>
      </c>
      <c r="E170" t="s">
        <v>21</v>
      </c>
      <c r="F170" t="s">
        <v>16</v>
      </c>
      <c r="G170">
        <v>3325.96</v>
      </c>
      <c r="H170">
        <v>3781.4</v>
      </c>
      <c r="I170">
        <v>45</v>
      </c>
      <c r="J170">
        <f t="shared" si="10"/>
        <v>170163</v>
      </c>
      <c r="K170">
        <f t="shared" si="11"/>
        <v>20494.800000000003</v>
      </c>
      <c r="L170" t="s">
        <v>17</v>
      </c>
      <c r="M170" t="s">
        <v>31</v>
      </c>
      <c r="N170" t="s">
        <v>19</v>
      </c>
    </row>
    <row r="171" spans="1:14" x14ac:dyDescent="0.3">
      <c r="A171" s="1">
        <v>44985</v>
      </c>
      <c r="B171" s="1" t="str">
        <f t="shared" si="8"/>
        <v>Feb</v>
      </c>
      <c r="C171" s="1" t="str">
        <f t="shared" si="9"/>
        <v>2023</v>
      </c>
      <c r="D171" t="s">
        <v>33</v>
      </c>
      <c r="E171" t="s">
        <v>34</v>
      </c>
      <c r="F171" t="s">
        <v>16</v>
      </c>
      <c r="G171">
        <v>3967.25</v>
      </c>
      <c r="H171">
        <v>4272.92</v>
      </c>
      <c r="I171">
        <v>43</v>
      </c>
      <c r="J171">
        <f t="shared" si="10"/>
        <v>183735.56</v>
      </c>
      <c r="K171">
        <f t="shared" si="11"/>
        <v>13143.810000000003</v>
      </c>
      <c r="L171" t="s">
        <v>30</v>
      </c>
      <c r="M171" t="s">
        <v>31</v>
      </c>
      <c r="N171" t="s">
        <v>19</v>
      </c>
    </row>
    <row r="172" spans="1:14" x14ac:dyDescent="0.3">
      <c r="A172" s="1">
        <v>44985</v>
      </c>
      <c r="B172" s="1" t="str">
        <f t="shared" si="8"/>
        <v>Feb</v>
      </c>
      <c r="C172" s="1" t="str">
        <f t="shared" si="9"/>
        <v>2023</v>
      </c>
      <c r="D172" t="s">
        <v>24</v>
      </c>
      <c r="E172" t="s">
        <v>34</v>
      </c>
      <c r="F172" t="s">
        <v>26</v>
      </c>
      <c r="G172">
        <v>3831.09</v>
      </c>
      <c r="H172">
        <v>3908.37</v>
      </c>
      <c r="I172">
        <v>33</v>
      </c>
      <c r="J172">
        <f t="shared" si="10"/>
        <v>128976.20999999999</v>
      </c>
      <c r="K172">
        <f t="shared" si="11"/>
        <v>2550.2399999999916</v>
      </c>
      <c r="L172" t="s">
        <v>30</v>
      </c>
      <c r="M172" t="s">
        <v>18</v>
      </c>
      <c r="N172" t="s">
        <v>22</v>
      </c>
    </row>
    <row r="173" spans="1:14" x14ac:dyDescent="0.3">
      <c r="A173" s="1">
        <v>44985</v>
      </c>
      <c r="B173" s="1" t="str">
        <f t="shared" si="8"/>
        <v>Feb</v>
      </c>
      <c r="C173" s="1" t="str">
        <f t="shared" si="9"/>
        <v>2023</v>
      </c>
      <c r="D173" t="s">
        <v>14</v>
      </c>
      <c r="E173" t="s">
        <v>34</v>
      </c>
      <c r="F173" t="s">
        <v>35</v>
      </c>
      <c r="G173">
        <v>859.59</v>
      </c>
      <c r="H173">
        <v>884.51</v>
      </c>
      <c r="I173">
        <v>14</v>
      </c>
      <c r="J173">
        <f t="shared" si="10"/>
        <v>12383.14</v>
      </c>
      <c r="K173">
        <f t="shared" si="11"/>
        <v>348.87999999999943</v>
      </c>
      <c r="L173" t="s">
        <v>30</v>
      </c>
      <c r="M173" t="s">
        <v>27</v>
      </c>
      <c r="N173" t="s">
        <v>19</v>
      </c>
    </row>
    <row r="174" spans="1:14" x14ac:dyDescent="0.3">
      <c r="A174" s="1">
        <v>44985</v>
      </c>
      <c r="B174" s="1" t="str">
        <f t="shared" si="8"/>
        <v>Feb</v>
      </c>
      <c r="C174" s="1" t="str">
        <f t="shared" si="9"/>
        <v>2023</v>
      </c>
      <c r="D174" t="s">
        <v>24</v>
      </c>
      <c r="E174" t="s">
        <v>21</v>
      </c>
      <c r="F174" t="s">
        <v>29</v>
      </c>
      <c r="G174">
        <v>2958.75</v>
      </c>
      <c r="H174">
        <v>3177.64</v>
      </c>
      <c r="I174">
        <v>3</v>
      </c>
      <c r="J174">
        <f t="shared" si="10"/>
        <v>9532.92</v>
      </c>
      <c r="K174">
        <f t="shared" si="11"/>
        <v>656.66999999999962</v>
      </c>
      <c r="L174" t="s">
        <v>17</v>
      </c>
      <c r="M174" t="s">
        <v>18</v>
      </c>
      <c r="N174" t="s">
        <v>19</v>
      </c>
    </row>
    <row r="175" spans="1:14" x14ac:dyDescent="0.3">
      <c r="A175" s="1">
        <v>44985</v>
      </c>
      <c r="B175" s="1" t="str">
        <f t="shared" si="8"/>
        <v>Feb</v>
      </c>
      <c r="C175" s="1" t="str">
        <f t="shared" si="9"/>
        <v>2023</v>
      </c>
      <c r="D175" t="s">
        <v>38</v>
      </c>
      <c r="E175" t="s">
        <v>15</v>
      </c>
      <c r="F175" t="s">
        <v>35</v>
      </c>
      <c r="G175">
        <v>1555.41</v>
      </c>
      <c r="H175">
        <v>1609.94</v>
      </c>
      <c r="I175">
        <v>37</v>
      </c>
      <c r="J175">
        <f t="shared" si="10"/>
        <v>59567.78</v>
      </c>
      <c r="K175">
        <f t="shared" si="11"/>
        <v>2017.609999999999</v>
      </c>
      <c r="L175" t="s">
        <v>17</v>
      </c>
      <c r="M175" t="s">
        <v>31</v>
      </c>
      <c r="N175" t="s">
        <v>19</v>
      </c>
    </row>
    <row r="176" spans="1:14" x14ac:dyDescent="0.3">
      <c r="A176" s="1">
        <v>44985</v>
      </c>
      <c r="B176" s="1" t="str">
        <f t="shared" si="8"/>
        <v>Feb</v>
      </c>
      <c r="C176" s="1" t="str">
        <f t="shared" si="9"/>
        <v>2023</v>
      </c>
      <c r="D176" t="s">
        <v>42</v>
      </c>
      <c r="E176" t="s">
        <v>21</v>
      </c>
      <c r="F176" t="s">
        <v>16</v>
      </c>
      <c r="G176">
        <v>4074.66</v>
      </c>
      <c r="H176">
        <v>4261.1099999999997</v>
      </c>
      <c r="I176">
        <v>15</v>
      </c>
      <c r="J176">
        <f t="shared" si="10"/>
        <v>63916.649999999994</v>
      </c>
      <c r="K176">
        <f t="shared" si="11"/>
        <v>2796.7499999999973</v>
      </c>
      <c r="L176" t="s">
        <v>17</v>
      </c>
      <c r="M176" t="s">
        <v>31</v>
      </c>
      <c r="N176" t="s">
        <v>22</v>
      </c>
    </row>
    <row r="177" spans="1:14" x14ac:dyDescent="0.3">
      <c r="A177" s="1">
        <v>44986</v>
      </c>
      <c r="B177" s="1" t="str">
        <f t="shared" si="8"/>
        <v>Mar</v>
      </c>
      <c r="C177" s="1" t="str">
        <f t="shared" si="9"/>
        <v>2023</v>
      </c>
      <c r="D177" t="s">
        <v>24</v>
      </c>
      <c r="E177" t="s">
        <v>34</v>
      </c>
      <c r="F177" t="s">
        <v>29</v>
      </c>
      <c r="G177">
        <v>2873.53</v>
      </c>
      <c r="H177">
        <v>3108.3</v>
      </c>
      <c r="I177">
        <v>28</v>
      </c>
      <c r="J177">
        <f t="shared" si="10"/>
        <v>87032.400000000009</v>
      </c>
      <c r="K177">
        <f t="shared" si="11"/>
        <v>6573.5599999999995</v>
      </c>
      <c r="L177" t="s">
        <v>30</v>
      </c>
      <c r="M177" t="s">
        <v>31</v>
      </c>
      <c r="N177" t="s">
        <v>22</v>
      </c>
    </row>
    <row r="178" spans="1:14" x14ac:dyDescent="0.3">
      <c r="A178" s="1">
        <v>44986</v>
      </c>
      <c r="B178" s="1" t="str">
        <f t="shared" si="8"/>
        <v>Mar</v>
      </c>
      <c r="C178" s="1" t="str">
        <f t="shared" si="9"/>
        <v>2023</v>
      </c>
      <c r="D178" t="s">
        <v>33</v>
      </c>
      <c r="E178" t="s">
        <v>21</v>
      </c>
      <c r="F178" t="s">
        <v>26</v>
      </c>
      <c r="G178">
        <v>2013.12</v>
      </c>
      <c r="H178">
        <v>2321.87</v>
      </c>
      <c r="I178">
        <v>45</v>
      </c>
      <c r="J178">
        <f t="shared" si="10"/>
        <v>104484.15</v>
      </c>
      <c r="K178">
        <f t="shared" si="11"/>
        <v>13893.75</v>
      </c>
      <c r="L178" t="s">
        <v>30</v>
      </c>
      <c r="M178" t="s">
        <v>27</v>
      </c>
      <c r="N178" t="s">
        <v>22</v>
      </c>
    </row>
    <row r="179" spans="1:14" x14ac:dyDescent="0.3">
      <c r="A179" s="1">
        <v>44986</v>
      </c>
      <c r="B179" s="1" t="str">
        <f t="shared" si="8"/>
        <v>Mar</v>
      </c>
      <c r="C179" s="1" t="str">
        <f t="shared" si="9"/>
        <v>2023</v>
      </c>
      <c r="D179" t="s">
        <v>33</v>
      </c>
      <c r="E179" t="s">
        <v>34</v>
      </c>
      <c r="F179" t="s">
        <v>35</v>
      </c>
      <c r="G179">
        <v>3288.39</v>
      </c>
      <c r="H179">
        <v>3391.46</v>
      </c>
      <c r="I179">
        <v>44</v>
      </c>
      <c r="J179">
        <f t="shared" si="10"/>
        <v>149224.24</v>
      </c>
      <c r="K179">
        <f t="shared" si="11"/>
        <v>4535.0800000000072</v>
      </c>
      <c r="L179" t="s">
        <v>30</v>
      </c>
      <c r="M179" t="s">
        <v>31</v>
      </c>
      <c r="N179" t="s">
        <v>22</v>
      </c>
    </row>
    <row r="180" spans="1:14" x14ac:dyDescent="0.3">
      <c r="A180" s="1">
        <v>44987</v>
      </c>
      <c r="B180" s="1" t="str">
        <f t="shared" si="8"/>
        <v>Mar</v>
      </c>
      <c r="C180" s="1" t="str">
        <f t="shared" si="9"/>
        <v>2023</v>
      </c>
      <c r="D180" t="s">
        <v>24</v>
      </c>
      <c r="E180" t="s">
        <v>21</v>
      </c>
      <c r="F180" t="s">
        <v>26</v>
      </c>
      <c r="G180">
        <v>4450.6099999999997</v>
      </c>
      <c r="H180">
        <v>4663.3399999999901</v>
      </c>
      <c r="I180">
        <v>39</v>
      </c>
      <c r="J180">
        <f t="shared" si="10"/>
        <v>181870.2599999996</v>
      </c>
      <c r="K180">
        <f t="shared" si="11"/>
        <v>8296.4699999996283</v>
      </c>
      <c r="L180" t="s">
        <v>30</v>
      </c>
      <c r="M180" t="s">
        <v>18</v>
      </c>
      <c r="N180" t="s">
        <v>22</v>
      </c>
    </row>
    <row r="181" spans="1:14" x14ac:dyDescent="0.3">
      <c r="A181" s="1">
        <v>44987</v>
      </c>
      <c r="B181" s="1" t="str">
        <f t="shared" si="8"/>
        <v>Mar</v>
      </c>
      <c r="C181" s="1" t="str">
        <f t="shared" si="9"/>
        <v>2023</v>
      </c>
      <c r="D181" t="s">
        <v>38</v>
      </c>
      <c r="E181" t="s">
        <v>21</v>
      </c>
      <c r="F181" t="s">
        <v>26</v>
      </c>
      <c r="G181">
        <v>3542.8</v>
      </c>
      <c r="H181">
        <v>3603.02</v>
      </c>
      <c r="I181">
        <v>39</v>
      </c>
      <c r="J181">
        <f t="shared" si="10"/>
        <v>140517.78</v>
      </c>
      <c r="K181">
        <f t="shared" si="11"/>
        <v>2348.5799999999922</v>
      </c>
      <c r="L181" t="s">
        <v>17</v>
      </c>
      <c r="M181" t="s">
        <v>18</v>
      </c>
      <c r="N181" t="s">
        <v>19</v>
      </c>
    </row>
    <row r="182" spans="1:14" x14ac:dyDescent="0.3">
      <c r="A182" s="1">
        <v>44987</v>
      </c>
      <c r="B182" s="1" t="str">
        <f t="shared" si="8"/>
        <v>Mar</v>
      </c>
      <c r="C182" s="1" t="str">
        <f t="shared" si="9"/>
        <v>2023</v>
      </c>
      <c r="D182" t="s">
        <v>38</v>
      </c>
      <c r="E182" t="s">
        <v>34</v>
      </c>
      <c r="F182" t="s">
        <v>16</v>
      </c>
      <c r="G182">
        <v>1307.22</v>
      </c>
      <c r="H182">
        <v>1528.4</v>
      </c>
      <c r="I182">
        <v>49</v>
      </c>
      <c r="J182">
        <f t="shared" si="10"/>
        <v>74891.600000000006</v>
      </c>
      <c r="K182">
        <f t="shared" si="11"/>
        <v>10837.820000000003</v>
      </c>
      <c r="L182" t="s">
        <v>17</v>
      </c>
      <c r="M182" t="s">
        <v>18</v>
      </c>
      <c r="N182" t="s">
        <v>22</v>
      </c>
    </row>
    <row r="183" spans="1:14" x14ac:dyDescent="0.3">
      <c r="A183" s="1">
        <v>44988</v>
      </c>
      <c r="B183" s="1" t="str">
        <f t="shared" si="8"/>
        <v>Mar</v>
      </c>
      <c r="C183" s="1" t="str">
        <f t="shared" si="9"/>
        <v>2023</v>
      </c>
      <c r="D183" t="s">
        <v>38</v>
      </c>
      <c r="E183" t="s">
        <v>21</v>
      </c>
      <c r="F183" t="s">
        <v>26</v>
      </c>
      <c r="G183">
        <v>2543.2600000000002</v>
      </c>
      <c r="H183">
        <v>2637.91</v>
      </c>
      <c r="I183">
        <v>1</v>
      </c>
      <c r="J183">
        <f t="shared" si="10"/>
        <v>2637.91</v>
      </c>
      <c r="K183">
        <f t="shared" si="11"/>
        <v>94.649999999999636</v>
      </c>
      <c r="L183" t="s">
        <v>17</v>
      </c>
      <c r="M183" t="s">
        <v>31</v>
      </c>
      <c r="N183" t="s">
        <v>19</v>
      </c>
    </row>
    <row r="184" spans="1:14" x14ac:dyDescent="0.3">
      <c r="A184" s="1">
        <v>44988</v>
      </c>
      <c r="B184" s="1" t="str">
        <f t="shared" si="8"/>
        <v>Mar</v>
      </c>
      <c r="C184" s="1" t="str">
        <f t="shared" si="9"/>
        <v>2023</v>
      </c>
      <c r="D184" t="s">
        <v>14</v>
      </c>
      <c r="E184" t="s">
        <v>21</v>
      </c>
      <c r="F184" t="s">
        <v>35</v>
      </c>
      <c r="G184">
        <v>2936.48</v>
      </c>
      <c r="H184">
        <v>3096.64</v>
      </c>
      <c r="I184">
        <v>47</v>
      </c>
      <c r="J184">
        <f t="shared" si="10"/>
        <v>145542.07999999999</v>
      </c>
      <c r="K184">
        <f t="shared" si="11"/>
        <v>7527.5199999999932</v>
      </c>
      <c r="L184" t="s">
        <v>30</v>
      </c>
      <c r="M184" t="s">
        <v>27</v>
      </c>
      <c r="N184" t="s">
        <v>19</v>
      </c>
    </row>
    <row r="185" spans="1:14" x14ac:dyDescent="0.3">
      <c r="A185" s="1">
        <v>44988</v>
      </c>
      <c r="B185" s="1" t="str">
        <f t="shared" si="8"/>
        <v>Mar</v>
      </c>
      <c r="C185" s="1" t="str">
        <f t="shared" si="9"/>
        <v>2023</v>
      </c>
      <c r="D185" t="s">
        <v>33</v>
      </c>
      <c r="E185" t="s">
        <v>15</v>
      </c>
      <c r="F185" t="s">
        <v>16</v>
      </c>
      <c r="G185">
        <v>4117.67</v>
      </c>
      <c r="H185">
        <v>4280.0600000000004</v>
      </c>
      <c r="I185">
        <v>4</v>
      </c>
      <c r="J185">
        <f t="shared" si="10"/>
        <v>17120.240000000002</v>
      </c>
      <c r="K185">
        <f t="shared" si="11"/>
        <v>649.56000000000131</v>
      </c>
      <c r="L185" t="s">
        <v>17</v>
      </c>
      <c r="M185" t="s">
        <v>27</v>
      </c>
      <c r="N185" t="s">
        <v>19</v>
      </c>
    </row>
    <row r="186" spans="1:14" x14ac:dyDescent="0.3">
      <c r="A186" s="1">
        <v>44988</v>
      </c>
      <c r="B186" s="1" t="str">
        <f t="shared" si="8"/>
        <v>Mar</v>
      </c>
      <c r="C186" s="1" t="str">
        <f t="shared" si="9"/>
        <v>2023</v>
      </c>
      <c r="D186" t="s">
        <v>38</v>
      </c>
      <c r="E186" t="s">
        <v>34</v>
      </c>
      <c r="F186" t="s">
        <v>35</v>
      </c>
      <c r="G186">
        <v>3591.05</v>
      </c>
      <c r="H186">
        <v>3625.35</v>
      </c>
      <c r="I186">
        <v>16</v>
      </c>
      <c r="J186">
        <f t="shared" si="10"/>
        <v>58005.599999999999</v>
      </c>
      <c r="K186">
        <f t="shared" si="11"/>
        <v>548.79999999999563</v>
      </c>
      <c r="L186" t="s">
        <v>17</v>
      </c>
      <c r="M186" t="s">
        <v>31</v>
      </c>
      <c r="N186" t="s">
        <v>22</v>
      </c>
    </row>
    <row r="187" spans="1:14" x14ac:dyDescent="0.3">
      <c r="A187" s="1">
        <v>44989</v>
      </c>
      <c r="B187" s="1" t="str">
        <f t="shared" si="8"/>
        <v>Mar</v>
      </c>
      <c r="C187" s="1" t="str">
        <f t="shared" si="9"/>
        <v>2023</v>
      </c>
      <c r="D187" t="s">
        <v>24</v>
      </c>
      <c r="E187" t="s">
        <v>34</v>
      </c>
      <c r="F187" t="s">
        <v>29</v>
      </c>
      <c r="G187">
        <v>3223.07</v>
      </c>
      <c r="H187">
        <v>3590.83</v>
      </c>
      <c r="I187">
        <v>1</v>
      </c>
      <c r="J187">
        <f t="shared" si="10"/>
        <v>3590.83</v>
      </c>
      <c r="K187">
        <f t="shared" si="11"/>
        <v>367.75999999999976</v>
      </c>
      <c r="L187" t="s">
        <v>30</v>
      </c>
      <c r="M187" t="s">
        <v>27</v>
      </c>
      <c r="N187" t="s">
        <v>22</v>
      </c>
    </row>
    <row r="188" spans="1:14" x14ac:dyDescent="0.3">
      <c r="A188" s="1">
        <v>44989</v>
      </c>
      <c r="B188" s="1" t="str">
        <f t="shared" si="8"/>
        <v>Mar</v>
      </c>
      <c r="C188" s="1" t="str">
        <f t="shared" si="9"/>
        <v>2023</v>
      </c>
      <c r="D188" t="s">
        <v>14</v>
      </c>
      <c r="E188" t="s">
        <v>21</v>
      </c>
      <c r="F188" t="s">
        <v>29</v>
      </c>
      <c r="G188">
        <v>362.38</v>
      </c>
      <c r="H188">
        <v>753.81</v>
      </c>
      <c r="I188">
        <v>14</v>
      </c>
      <c r="J188">
        <f t="shared" si="10"/>
        <v>10553.34</v>
      </c>
      <c r="K188">
        <f t="shared" si="11"/>
        <v>5480.0199999999995</v>
      </c>
      <c r="L188" t="s">
        <v>17</v>
      </c>
      <c r="M188" t="s">
        <v>18</v>
      </c>
      <c r="N188" t="s">
        <v>22</v>
      </c>
    </row>
    <row r="189" spans="1:14" x14ac:dyDescent="0.3">
      <c r="A189" s="1">
        <v>44989</v>
      </c>
      <c r="B189" s="1" t="str">
        <f t="shared" si="8"/>
        <v>Mar</v>
      </c>
      <c r="C189" s="1" t="str">
        <f t="shared" si="9"/>
        <v>2023</v>
      </c>
      <c r="D189" t="s">
        <v>14</v>
      </c>
      <c r="E189" t="s">
        <v>25</v>
      </c>
      <c r="F189" t="s">
        <v>35</v>
      </c>
      <c r="G189">
        <v>3653.66</v>
      </c>
      <c r="H189">
        <v>3896.19</v>
      </c>
      <c r="I189">
        <v>15</v>
      </c>
      <c r="J189">
        <f t="shared" si="10"/>
        <v>58442.85</v>
      </c>
      <c r="K189">
        <f t="shared" si="11"/>
        <v>3637.950000000003</v>
      </c>
      <c r="L189" t="s">
        <v>30</v>
      </c>
      <c r="M189" t="s">
        <v>31</v>
      </c>
      <c r="N189" t="s">
        <v>22</v>
      </c>
    </row>
    <row r="190" spans="1:14" x14ac:dyDescent="0.3">
      <c r="A190" s="1">
        <v>44989</v>
      </c>
      <c r="B190" s="1" t="str">
        <f t="shared" si="8"/>
        <v>Mar</v>
      </c>
      <c r="C190" s="1" t="str">
        <f t="shared" si="9"/>
        <v>2023</v>
      </c>
      <c r="D190" t="s">
        <v>14</v>
      </c>
      <c r="E190" t="s">
        <v>15</v>
      </c>
      <c r="F190" t="s">
        <v>26</v>
      </c>
      <c r="G190">
        <v>615.47</v>
      </c>
      <c r="H190">
        <v>715.84</v>
      </c>
      <c r="I190">
        <v>49</v>
      </c>
      <c r="J190">
        <f t="shared" si="10"/>
        <v>35076.160000000003</v>
      </c>
      <c r="K190">
        <f t="shared" si="11"/>
        <v>4918.13</v>
      </c>
      <c r="L190" t="s">
        <v>17</v>
      </c>
      <c r="M190" t="s">
        <v>31</v>
      </c>
      <c r="N190" t="s">
        <v>22</v>
      </c>
    </row>
    <row r="191" spans="1:14" x14ac:dyDescent="0.3">
      <c r="A191" s="1">
        <v>44989</v>
      </c>
      <c r="B191" s="1" t="str">
        <f t="shared" si="8"/>
        <v>Mar</v>
      </c>
      <c r="C191" s="1" t="str">
        <f t="shared" si="9"/>
        <v>2023</v>
      </c>
      <c r="D191" t="s">
        <v>24</v>
      </c>
      <c r="E191" t="s">
        <v>34</v>
      </c>
      <c r="F191" t="s">
        <v>16</v>
      </c>
      <c r="G191">
        <v>1531.2</v>
      </c>
      <c r="H191">
        <v>1955.56</v>
      </c>
      <c r="I191">
        <v>10</v>
      </c>
      <c r="J191">
        <f t="shared" si="10"/>
        <v>19555.599999999999</v>
      </c>
      <c r="K191">
        <f t="shared" si="11"/>
        <v>4243.5999999999985</v>
      </c>
      <c r="L191" t="s">
        <v>30</v>
      </c>
      <c r="M191" t="s">
        <v>31</v>
      </c>
      <c r="N191" t="s">
        <v>19</v>
      </c>
    </row>
    <row r="192" spans="1:14" x14ac:dyDescent="0.3">
      <c r="A192" s="1">
        <v>44990</v>
      </c>
      <c r="B192" s="1" t="str">
        <f t="shared" si="8"/>
        <v>Mar</v>
      </c>
      <c r="C192" s="1" t="str">
        <f t="shared" si="9"/>
        <v>2023</v>
      </c>
      <c r="D192" t="s">
        <v>14</v>
      </c>
      <c r="E192" t="s">
        <v>15</v>
      </c>
      <c r="F192" t="s">
        <v>35</v>
      </c>
      <c r="G192">
        <v>3318.92</v>
      </c>
      <c r="H192">
        <v>3785.91</v>
      </c>
      <c r="I192">
        <v>20</v>
      </c>
      <c r="J192">
        <f t="shared" si="10"/>
        <v>75718.2</v>
      </c>
      <c r="K192">
        <f t="shared" si="11"/>
        <v>9339.7999999999956</v>
      </c>
      <c r="L192" t="s">
        <v>30</v>
      </c>
      <c r="M192" t="s">
        <v>27</v>
      </c>
      <c r="N192" t="s">
        <v>19</v>
      </c>
    </row>
    <row r="193" spans="1:14" x14ac:dyDescent="0.3">
      <c r="A193" s="1">
        <v>44990</v>
      </c>
      <c r="B193" s="1" t="str">
        <f t="shared" si="8"/>
        <v>Mar</v>
      </c>
      <c r="C193" s="1" t="str">
        <f t="shared" si="9"/>
        <v>2023</v>
      </c>
      <c r="D193" t="s">
        <v>38</v>
      </c>
      <c r="E193" t="s">
        <v>15</v>
      </c>
      <c r="F193" t="s">
        <v>16</v>
      </c>
      <c r="G193">
        <v>2596.7199999999998</v>
      </c>
      <c r="H193">
        <v>2715.0499999999902</v>
      </c>
      <c r="I193">
        <v>48</v>
      </c>
      <c r="J193">
        <f t="shared" si="10"/>
        <v>130322.39999999953</v>
      </c>
      <c r="K193">
        <f t="shared" si="11"/>
        <v>5679.8399999995381</v>
      </c>
      <c r="L193" t="s">
        <v>17</v>
      </c>
      <c r="M193" t="s">
        <v>18</v>
      </c>
      <c r="N193" t="s">
        <v>19</v>
      </c>
    </row>
    <row r="194" spans="1:14" x14ac:dyDescent="0.3">
      <c r="A194" s="1">
        <v>44991</v>
      </c>
      <c r="B194" s="1" t="str">
        <f t="shared" ref="B194:B257" si="12">TEXT(A194,"MMM")</f>
        <v>Mar</v>
      </c>
      <c r="C194" s="1" t="str">
        <f t="shared" ref="C194:C257" si="13">TEXT(A194,"YYYY")</f>
        <v>2023</v>
      </c>
      <c r="D194" t="s">
        <v>42</v>
      </c>
      <c r="E194" t="s">
        <v>25</v>
      </c>
      <c r="F194" t="s">
        <v>35</v>
      </c>
      <c r="G194">
        <v>1258.53</v>
      </c>
      <c r="H194">
        <v>1624.8899999999901</v>
      </c>
      <c r="I194">
        <v>35</v>
      </c>
      <c r="J194">
        <f t="shared" ref="J194:J257" si="14">(I194*H194)</f>
        <v>56871.149999999652</v>
      </c>
      <c r="K194">
        <f t="shared" ref="K194:K257" si="15">(H194-G194)*I194</f>
        <v>12822.599999999655</v>
      </c>
      <c r="L194" t="s">
        <v>30</v>
      </c>
      <c r="M194" t="s">
        <v>31</v>
      </c>
      <c r="N194" t="s">
        <v>19</v>
      </c>
    </row>
    <row r="195" spans="1:14" x14ac:dyDescent="0.3">
      <c r="A195" s="1">
        <v>44993</v>
      </c>
      <c r="B195" s="1" t="str">
        <f t="shared" si="12"/>
        <v>Mar</v>
      </c>
      <c r="C195" s="1" t="str">
        <f t="shared" si="13"/>
        <v>2023</v>
      </c>
      <c r="D195" t="s">
        <v>42</v>
      </c>
      <c r="E195" t="s">
        <v>15</v>
      </c>
      <c r="F195" t="s">
        <v>29</v>
      </c>
      <c r="G195">
        <v>253.29</v>
      </c>
      <c r="H195">
        <v>683.78</v>
      </c>
      <c r="I195">
        <v>12</v>
      </c>
      <c r="J195">
        <f t="shared" si="14"/>
        <v>8205.36</v>
      </c>
      <c r="K195">
        <f t="shared" si="15"/>
        <v>5165.88</v>
      </c>
      <c r="L195" t="s">
        <v>30</v>
      </c>
      <c r="M195" t="s">
        <v>31</v>
      </c>
      <c r="N195" t="s">
        <v>19</v>
      </c>
    </row>
    <row r="196" spans="1:14" x14ac:dyDescent="0.3">
      <c r="A196" s="1">
        <v>44993</v>
      </c>
      <c r="B196" s="1" t="str">
        <f t="shared" si="12"/>
        <v>Mar</v>
      </c>
      <c r="C196" s="1" t="str">
        <f t="shared" si="13"/>
        <v>2023</v>
      </c>
      <c r="D196" t="s">
        <v>14</v>
      </c>
      <c r="E196" t="s">
        <v>34</v>
      </c>
      <c r="F196" t="s">
        <v>35</v>
      </c>
      <c r="G196">
        <v>3489.85</v>
      </c>
      <c r="H196">
        <v>3842.5499999999902</v>
      </c>
      <c r="I196">
        <v>28</v>
      </c>
      <c r="J196">
        <f t="shared" si="14"/>
        <v>107591.39999999973</v>
      </c>
      <c r="K196">
        <f t="shared" si="15"/>
        <v>9875.5999999997275</v>
      </c>
      <c r="L196" t="s">
        <v>30</v>
      </c>
      <c r="M196" t="s">
        <v>27</v>
      </c>
      <c r="N196" t="s">
        <v>19</v>
      </c>
    </row>
    <row r="197" spans="1:14" x14ac:dyDescent="0.3">
      <c r="A197" s="1">
        <v>44994</v>
      </c>
      <c r="B197" s="1" t="str">
        <f t="shared" si="12"/>
        <v>Mar</v>
      </c>
      <c r="C197" s="1" t="str">
        <f t="shared" si="13"/>
        <v>2023</v>
      </c>
      <c r="D197" t="s">
        <v>38</v>
      </c>
      <c r="E197" t="s">
        <v>25</v>
      </c>
      <c r="F197" t="s">
        <v>16</v>
      </c>
      <c r="G197">
        <v>2249.7600000000002</v>
      </c>
      <c r="H197">
        <v>2598.4</v>
      </c>
      <c r="I197">
        <v>40</v>
      </c>
      <c r="J197">
        <f t="shared" si="14"/>
        <v>103936</v>
      </c>
      <c r="K197">
        <f t="shared" si="15"/>
        <v>13945.599999999995</v>
      </c>
      <c r="L197" t="s">
        <v>17</v>
      </c>
      <c r="M197" t="s">
        <v>31</v>
      </c>
      <c r="N197" t="s">
        <v>22</v>
      </c>
    </row>
    <row r="198" spans="1:14" x14ac:dyDescent="0.3">
      <c r="A198" s="1">
        <v>44995</v>
      </c>
      <c r="B198" s="1" t="str">
        <f t="shared" si="12"/>
        <v>Mar</v>
      </c>
      <c r="C198" s="1" t="str">
        <f t="shared" si="13"/>
        <v>2023</v>
      </c>
      <c r="D198" t="s">
        <v>38</v>
      </c>
      <c r="E198" t="s">
        <v>25</v>
      </c>
      <c r="F198" t="s">
        <v>26</v>
      </c>
      <c r="G198">
        <v>2511.41</v>
      </c>
      <c r="H198">
        <v>2848.3999999999901</v>
      </c>
      <c r="I198">
        <v>21</v>
      </c>
      <c r="J198">
        <f t="shared" si="14"/>
        <v>59816.39999999979</v>
      </c>
      <c r="K198">
        <f t="shared" si="15"/>
        <v>7076.7899999997953</v>
      </c>
      <c r="L198" t="s">
        <v>17</v>
      </c>
      <c r="M198" t="s">
        <v>27</v>
      </c>
      <c r="N198" t="s">
        <v>19</v>
      </c>
    </row>
    <row r="199" spans="1:14" x14ac:dyDescent="0.3">
      <c r="A199" s="1">
        <v>44995</v>
      </c>
      <c r="B199" s="1" t="str">
        <f t="shared" si="12"/>
        <v>Mar</v>
      </c>
      <c r="C199" s="1" t="str">
        <f t="shared" si="13"/>
        <v>2023</v>
      </c>
      <c r="D199" t="s">
        <v>33</v>
      </c>
      <c r="E199" t="s">
        <v>34</v>
      </c>
      <c r="F199" t="s">
        <v>29</v>
      </c>
      <c r="G199">
        <v>2750.18</v>
      </c>
      <c r="H199">
        <v>2882.85</v>
      </c>
      <c r="I199">
        <v>13</v>
      </c>
      <c r="J199">
        <f t="shared" si="14"/>
        <v>37477.049999999996</v>
      </c>
      <c r="K199">
        <f t="shared" si="15"/>
        <v>1724.7100000000009</v>
      </c>
      <c r="L199" t="s">
        <v>17</v>
      </c>
      <c r="M199" t="s">
        <v>31</v>
      </c>
      <c r="N199" t="s">
        <v>19</v>
      </c>
    </row>
    <row r="200" spans="1:14" x14ac:dyDescent="0.3">
      <c r="A200" s="1">
        <v>44995</v>
      </c>
      <c r="B200" s="1" t="str">
        <f t="shared" si="12"/>
        <v>Mar</v>
      </c>
      <c r="C200" s="1" t="str">
        <f t="shared" si="13"/>
        <v>2023</v>
      </c>
      <c r="D200" t="s">
        <v>42</v>
      </c>
      <c r="E200" t="s">
        <v>34</v>
      </c>
      <c r="F200" t="s">
        <v>35</v>
      </c>
      <c r="G200">
        <v>4205.29</v>
      </c>
      <c r="H200">
        <v>4382.3500000000004</v>
      </c>
      <c r="I200">
        <v>42</v>
      </c>
      <c r="J200">
        <f t="shared" si="14"/>
        <v>184058.7</v>
      </c>
      <c r="K200">
        <f t="shared" si="15"/>
        <v>7436.5200000000168</v>
      </c>
      <c r="L200" t="s">
        <v>30</v>
      </c>
      <c r="M200" t="s">
        <v>18</v>
      </c>
      <c r="N200" t="s">
        <v>22</v>
      </c>
    </row>
    <row r="201" spans="1:14" x14ac:dyDescent="0.3">
      <c r="A201" s="1">
        <v>44996</v>
      </c>
      <c r="B201" s="1" t="str">
        <f t="shared" si="12"/>
        <v>Mar</v>
      </c>
      <c r="C201" s="1" t="str">
        <f t="shared" si="13"/>
        <v>2023</v>
      </c>
      <c r="D201" t="s">
        <v>14</v>
      </c>
      <c r="E201" t="s">
        <v>25</v>
      </c>
      <c r="F201" t="s">
        <v>29</v>
      </c>
      <c r="G201">
        <v>2543.36</v>
      </c>
      <c r="H201">
        <v>2790.1</v>
      </c>
      <c r="I201">
        <v>15</v>
      </c>
      <c r="J201">
        <f t="shared" si="14"/>
        <v>41851.5</v>
      </c>
      <c r="K201">
        <f t="shared" si="15"/>
        <v>3701.0999999999967</v>
      </c>
      <c r="L201" t="s">
        <v>17</v>
      </c>
      <c r="M201" t="s">
        <v>18</v>
      </c>
      <c r="N201" t="s">
        <v>19</v>
      </c>
    </row>
    <row r="202" spans="1:14" x14ac:dyDescent="0.3">
      <c r="A202" s="1">
        <v>44998</v>
      </c>
      <c r="B202" s="1" t="str">
        <f t="shared" si="12"/>
        <v>Mar</v>
      </c>
      <c r="C202" s="1" t="str">
        <f t="shared" si="13"/>
        <v>2023</v>
      </c>
      <c r="D202" t="s">
        <v>42</v>
      </c>
      <c r="E202" t="s">
        <v>15</v>
      </c>
      <c r="F202" t="s">
        <v>26</v>
      </c>
      <c r="G202">
        <v>2511.2800000000002</v>
      </c>
      <c r="H202">
        <v>2658.06</v>
      </c>
      <c r="I202">
        <v>39</v>
      </c>
      <c r="J202">
        <f t="shared" si="14"/>
        <v>103664.34</v>
      </c>
      <c r="K202">
        <f t="shared" si="15"/>
        <v>5724.4199999999901</v>
      </c>
      <c r="L202" t="s">
        <v>30</v>
      </c>
      <c r="M202" t="s">
        <v>31</v>
      </c>
      <c r="N202" t="s">
        <v>22</v>
      </c>
    </row>
    <row r="203" spans="1:14" x14ac:dyDescent="0.3">
      <c r="A203" s="1">
        <v>44998</v>
      </c>
      <c r="B203" s="1" t="str">
        <f t="shared" si="12"/>
        <v>Mar</v>
      </c>
      <c r="C203" s="1" t="str">
        <f t="shared" si="13"/>
        <v>2023</v>
      </c>
      <c r="D203" t="s">
        <v>42</v>
      </c>
      <c r="E203" t="s">
        <v>15</v>
      </c>
      <c r="F203" t="s">
        <v>35</v>
      </c>
      <c r="G203">
        <v>4741.59</v>
      </c>
      <c r="H203">
        <v>4975.2299999999996</v>
      </c>
      <c r="I203">
        <v>20</v>
      </c>
      <c r="J203">
        <f t="shared" si="14"/>
        <v>99504.599999999991</v>
      </c>
      <c r="K203">
        <f t="shared" si="15"/>
        <v>4672.7999999999884</v>
      </c>
      <c r="L203" t="s">
        <v>30</v>
      </c>
      <c r="M203" t="s">
        <v>31</v>
      </c>
      <c r="N203" t="s">
        <v>19</v>
      </c>
    </row>
    <row r="204" spans="1:14" x14ac:dyDescent="0.3">
      <c r="A204" s="1">
        <v>44998</v>
      </c>
      <c r="B204" s="1" t="str">
        <f t="shared" si="12"/>
        <v>Mar</v>
      </c>
      <c r="C204" s="1" t="str">
        <f t="shared" si="13"/>
        <v>2023</v>
      </c>
      <c r="D204" t="s">
        <v>24</v>
      </c>
      <c r="E204" t="s">
        <v>15</v>
      </c>
      <c r="F204" t="s">
        <v>29</v>
      </c>
      <c r="G204">
        <v>400.42</v>
      </c>
      <c r="H204">
        <v>446.11</v>
      </c>
      <c r="I204">
        <v>9</v>
      </c>
      <c r="J204">
        <f t="shared" si="14"/>
        <v>4014.9900000000002</v>
      </c>
      <c r="K204">
        <f t="shared" si="15"/>
        <v>411.21</v>
      </c>
      <c r="L204" t="s">
        <v>30</v>
      </c>
      <c r="M204" t="s">
        <v>27</v>
      </c>
      <c r="N204" t="s">
        <v>22</v>
      </c>
    </row>
    <row r="205" spans="1:14" x14ac:dyDescent="0.3">
      <c r="A205" s="1">
        <v>44998</v>
      </c>
      <c r="B205" s="1" t="str">
        <f t="shared" si="12"/>
        <v>Mar</v>
      </c>
      <c r="C205" s="1" t="str">
        <f t="shared" si="13"/>
        <v>2023</v>
      </c>
      <c r="D205" t="s">
        <v>14</v>
      </c>
      <c r="E205" t="s">
        <v>25</v>
      </c>
      <c r="F205" t="s">
        <v>29</v>
      </c>
      <c r="G205">
        <v>2594.71</v>
      </c>
      <c r="H205">
        <v>2769.52</v>
      </c>
      <c r="I205">
        <v>11</v>
      </c>
      <c r="J205">
        <f t="shared" si="14"/>
        <v>30464.720000000001</v>
      </c>
      <c r="K205">
        <f t="shared" si="15"/>
        <v>1922.9099999999994</v>
      </c>
      <c r="L205" t="s">
        <v>17</v>
      </c>
      <c r="M205" t="s">
        <v>27</v>
      </c>
      <c r="N205" t="s">
        <v>22</v>
      </c>
    </row>
    <row r="206" spans="1:14" x14ac:dyDescent="0.3">
      <c r="A206" s="1">
        <v>44999</v>
      </c>
      <c r="B206" s="1" t="str">
        <f t="shared" si="12"/>
        <v>Mar</v>
      </c>
      <c r="C206" s="1" t="str">
        <f t="shared" si="13"/>
        <v>2023</v>
      </c>
      <c r="D206" t="s">
        <v>24</v>
      </c>
      <c r="E206" t="s">
        <v>25</v>
      </c>
      <c r="F206" t="s">
        <v>26</v>
      </c>
      <c r="G206">
        <v>580.75</v>
      </c>
      <c r="H206">
        <v>956.16</v>
      </c>
      <c r="I206">
        <v>23</v>
      </c>
      <c r="J206">
        <f t="shared" si="14"/>
        <v>21991.68</v>
      </c>
      <c r="K206">
        <f t="shared" si="15"/>
        <v>8634.4299999999985</v>
      </c>
      <c r="L206" t="s">
        <v>17</v>
      </c>
      <c r="M206" t="s">
        <v>18</v>
      </c>
      <c r="N206" t="s">
        <v>22</v>
      </c>
    </row>
    <row r="207" spans="1:14" x14ac:dyDescent="0.3">
      <c r="A207" s="1">
        <v>44999</v>
      </c>
      <c r="B207" s="1" t="str">
        <f t="shared" si="12"/>
        <v>Mar</v>
      </c>
      <c r="C207" s="1" t="str">
        <f t="shared" si="13"/>
        <v>2023</v>
      </c>
      <c r="D207" t="s">
        <v>42</v>
      </c>
      <c r="E207" t="s">
        <v>34</v>
      </c>
      <c r="F207" t="s">
        <v>26</v>
      </c>
      <c r="G207">
        <v>3018.01</v>
      </c>
      <c r="H207">
        <v>3418.19</v>
      </c>
      <c r="I207">
        <v>24</v>
      </c>
      <c r="J207">
        <f t="shared" si="14"/>
        <v>82036.56</v>
      </c>
      <c r="K207">
        <f t="shared" si="15"/>
        <v>9604.3199999999961</v>
      </c>
      <c r="L207" t="s">
        <v>17</v>
      </c>
      <c r="M207" t="s">
        <v>27</v>
      </c>
      <c r="N207" t="s">
        <v>22</v>
      </c>
    </row>
    <row r="208" spans="1:14" x14ac:dyDescent="0.3">
      <c r="A208" s="1">
        <v>44999</v>
      </c>
      <c r="B208" s="1" t="str">
        <f t="shared" si="12"/>
        <v>Mar</v>
      </c>
      <c r="C208" s="1" t="str">
        <f t="shared" si="13"/>
        <v>2023</v>
      </c>
      <c r="D208" t="s">
        <v>24</v>
      </c>
      <c r="E208" t="s">
        <v>34</v>
      </c>
      <c r="F208" t="s">
        <v>16</v>
      </c>
      <c r="G208">
        <v>2310.8200000000002</v>
      </c>
      <c r="H208">
        <v>2714.71</v>
      </c>
      <c r="I208">
        <v>47</v>
      </c>
      <c r="J208">
        <f t="shared" si="14"/>
        <v>127591.37</v>
      </c>
      <c r="K208">
        <f t="shared" si="15"/>
        <v>18982.829999999994</v>
      </c>
      <c r="L208" t="s">
        <v>30</v>
      </c>
      <c r="M208" t="s">
        <v>18</v>
      </c>
      <c r="N208" t="s">
        <v>22</v>
      </c>
    </row>
    <row r="209" spans="1:14" x14ac:dyDescent="0.3">
      <c r="A209" s="1">
        <v>45000</v>
      </c>
      <c r="B209" s="1" t="str">
        <f t="shared" si="12"/>
        <v>Mar</v>
      </c>
      <c r="C209" s="1" t="str">
        <f t="shared" si="13"/>
        <v>2023</v>
      </c>
      <c r="D209" t="s">
        <v>24</v>
      </c>
      <c r="E209" t="s">
        <v>25</v>
      </c>
      <c r="F209" t="s">
        <v>29</v>
      </c>
      <c r="G209">
        <v>2211.9499999999998</v>
      </c>
      <c r="H209">
        <v>2512.8399999999901</v>
      </c>
      <c r="I209">
        <v>44</v>
      </c>
      <c r="J209">
        <f t="shared" si="14"/>
        <v>110564.95999999957</v>
      </c>
      <c r="K209">
        <f t="shared" si="15"/>
        <v>13239.159999999574</v>
      </c>
      <c r="L209" t="s">
        <v>17</v>
      </c>
      <c r="M209" t="s">
        <v>18</v>
      </c>
      <c r="N209" t="s">
        <v>19</v>
      </c>
    </row>
    <row r="210" spans="1:14" x14ac:dyDescent="0.3">
      <c r="A210" s="1">
        <v>45001</v>
      </c>
      <c r="B210" s="1" t="str">
        <f t="shared" si="12"/>
        <v>Mar</v>
      </c>
      <c r="C210" s="1" t="str">
        <f t="shared" si="13"/>
        <v>2023</v>
      </c>
      <c r="D210" t="s">
        <v>38</v>
      </c>
      <c r="E210" t="s">
        <v>15</v>
      </c>
      <c r="F210" t="s">
        <v>16</v>
      </c>
      <c r="G210">
        <v>2735.74</v>
      </c>
      <c r="H210">
        <v>3181.22999999999</v>
      </c>
      <c r="I210">
        <v>35</v>
      </c>
      <c r="J210">
        <f t="shared" si="14"/>
        <v>111343.04999999965</v>
      </c>
      <c r="K210">
        <f t="shared" si="15"/>
        <v>15592.149999999658</v>
      </c>
      <c r="L210" t="s">
        <v>30</v>
      </c>
      <c r="M210" t="s">
        <v>31</v>
      </c>
      <c r="N210" t="s">
        <v>22</v>
      </c>
    </row>
    <row r="211" spans="1:14" x14ac:dyDescent="0.3">
      <c r="A211" s="1">
        <v>45001</v>
      </c>
      <c r="B211" s="1" t="str">
        <f t="shared" si="12"/>
        <v>Mar</v>
      </c>
      <c r="C211" s="1" t="str">
        <f t="shared" si="13"/>
        <v>2023</v>
      </c>
      <c r="D211" t="s">
        <v>24</v>
      </c>
      <c r="E211" t="s">
        <v>21</v>
      </c>
      <c r="F211" t="s">
        <v>16</v>
      </c>
      <c r="G211">
        <v>4849.6000000000004</v>
      </c>
      <c r="H211">
        <v>5166.72</v>
      </c>
      <c r="I211">
        <v>45</v>
      </c>
      <c r="J211">
        <f t="shared" si="14"/>
        <v>232502.40000000002</v>
      </c>
      <c r="K211">
        <f t="shared" si="15"/>
        <v>14270.399999999994</v>
      </c>
      <c r="L211" t="s">
        <v>17</v>
      </c>
      <c r="M211" t="s">
        <v>31</v>
      </c>
      <c r="N211" t="s">
        <v>19</v>
      </c>
    </row>
    <row r="212" spans="1:14" x14ac:dyDescent="0.3">
      <c r="A212" s="1">
        <v>45001</v>
      </c>
      <c r="B212" s="1" t="str">
        <f t="shared" si="12"/>
        <v>Mar</v>
      </c>
      <c r="C212" s="1" t="str">
        <f t="shared" si="13"/>
        <v>2023</v>
      </c>
      <c r="D212" t="s">
        <v>24</v>
      </c>
      <c r="E212" t="s">
        <v>25</v>
      </c>
      <c r="F212" t="s">
        <v>26</v>
      </c>
      <c r="G212">
        <v>1958.49</v>
      </c>
      <c r="H212">
        <v>2254.84</v>
      </c>
      <c r="I212">
        <v>35</v>
      </c>
      <c r="J212">
        <f t="shared" si="14"/>
        <v>78919.400000000009</v>
      </c>
      <c r="K212">
        <f t="shared" si="15"/>
        <v>10372.250000000005</v>
      </c>
      <c r="L212" t="s">
        <v>30</v>
      </c>
      <c r="M212" t="s">
        <v>31</v>
      </c>
      <c r="N212" t="s">
        <v>19</v>
      </c>
    </row>
    <row r="213" spans="1:14" x14ac:dyDescent="0.3">
      <c r="A213" s="1">
        <v>45001</v>
      </c>
      <c r="B213" s="1" t="str">
        <f t="shared" si="12"/>
        <v>Mar</v>
      </c>
      <c r="C213" s="1" t="str">
        <f t="shared" si="13"/>
        <v>2023</v>
      </c>
      <c r="D213" t="s">
        <v>24</v>
      </c>
      <c r="E213" t="s">
        <v>25</v>
      </c>
      <c r="F213" t="s">
        <v>16</v>
      </c>
      <c r="G213">
        <v>741.48</v>
      </c>
      <c r="H213">
        <v>878.09</v>
      </c>
      <c r="I213">
        <v>11</v>
      </c>
      <c r="J213">
        <f t="shared" si="14"/>
        <v>9658.99</v>
      </c>
      <c r="K213">
        <f t="shared" si="15"/>
        <v>1502.71</v>
      </c>
      <c r="L213" t="s">
        <v>30</v>
      </c>
      <c r="M213" t="s">
        <v>18</v>
      </c>
      <c r="N213" t="s">
        <v>22</v>
      </c>
    </row>
    <row r="214" spans="1:14" x14ac:dyDescent="0.3">
      <c r="A214" s="1">
        <v>45002</v>
      </c>
      <c r="B214" s="1" t="str">
        <f t="shared" si="12"/>
        <v>Mar</v>
      </c>
      <c r="C214" s="1" t="str">
        <f t="shared" si="13"/>
        <v>2023</v>
      </c>
      <c r="D214" t="s">
        <v>14</v>
      </c>
      <c r="E214" t="s">
        <v>15</v>
      </c>
      <c r="F214" t="s">
        <v>29</v>
      </c>
      <c r="G214">
        <v>3780.91</v>
      </c>
      <c r="H214">
        <v>3892.73</v>
      </c>
      <c r="I214">
        <v>28</v>
      </c>
      <c r="J214">
        <f t="shared" si="14"/>
        <v>108996.44</v>
      </c>
      <c r="K214">
        <f t="shared" si="15"/>
        <v>3130.9600000000046</v>
      </c>
      <c r="L214" t="s">
        <v>17</v>
      </c>
      <c r="M214" t="s">
        <v>18</v>
      </c>
      <c r="N214" t="s">
        <v>22</v>
      </c>
    </row>
    <row r="215" spans="1:14" x14ac:dyDescent="0.3">
      <c r="A215" s="1">
        <v>45002</v>
      </c>
      <c r="B215" s="1" t="str">
        <f t="shared" si="12"/>
        <v>Mar</v>
      </c>
      <c r="C215" s="1" t="str">
        <f t="shared" si="13"/>
        <v>2023</v>
      </c>
      <c r="D215" t="s">
        <v>38</v>
      </c>
      <c r="E215" t="s">
        <v>25</v>
      </c>
      <c r="F215" t="s">
        <v>35</v>
      </c>
      <c r="G215">
        <v>2016.49</v>
      </c>
      <c r="H215">
        <v>2338.66</v>
      </c>
      <c r="I215">
        <v>46</v>
      </c>
      <c r="J215">
        <f t="shared" si="14"/>
        <v>107578.35999999999</v>
      </c>
      <c r="K215">
        <f t="shared" si="15"/>
        <v>14819.819999999992</v>
      </c>
      <c r="L215" t="s">
        <v>17</v>
      </c>
      <c r="M215" t="s">
        <v>27</v>
      </c>
      <c r="N215" t="s">
        <v>22</v>
      </c>
    </row>
    <row r="216" spans="1:14" x14ac:dyDescent="0.3">
      <c r="A216" s="1">
        <v>45002</v>
      </c>
      <c r="B216" s="1" t="str">
        <f t="shared" si="12"/>
        <v>Mar</v>
      </c>
      <c r="C216" s="1" t="str">
        <f t="shared" si="13"/>
        <v>2023</v>
      </c>
      <c r="D216" t="s">
        <v>42</v>
      </c>
      <c r="E216" t="s">
        <v>34</v>
      </c>
      <c r="F216" t="s">
        <v>26</v>
      </c>
      <c r="G216">
        <v>3335.53</v>
      </c>
      <c r="H216">
        <v>3742.12</v>
      </c>
      <c r="I216">
        <v>23</v>
      </c>
      <c r="J216">
        <f t="shared" si="14"/>
        <v>86068.76</v>
      </c>
      <c r="K216">
        <f t="shared" si="15"/>
        <v>9351.5699999999924</v>
      </c>
      <c r="L216" t="s">
        <v>30</v>
      </c>
      <c r="M216" t="s">
        <v>27</v>
      </c>
      <c r="N216" t="s">
        <v>22</v>
      </c>
    </row>
    <row r="217" spans="1:14" x14ac:dyDescent="0.3">
      <c r="A217" s="1">
        <v>45003</v>
      </c>
      <c r="B217" s="1" t="str">
        <f t="shared" si="12"/>
        <v>Mar</v>
      </c>
      <c r="C217" s="1" t="str">
        <f t="shared" si="13"/>
        <v>2023</v>
      </c>
      <c r="D217" t="s">
        <v>24</v>
      </c>
      <c r="E217" t="s">
        <v>25</v>
      </c>
      <c r="F217" t="s">
        <v>26</v>
      </c>
      <c r="G217">
        <v>688.98</v>
      </c>
      <c r="H217">
        <v>863.81</v>
      </c>
      <c r="I217">
        <v>4</v>
      </c>
      <c r="J217">
        <f t="shared" si="14"/>
        <v>3455.24</v>
      </c>
      <c r="K217">
        <f t="shared" si="15"/>
        <v>699.31999999999971</v>
      </c>
      <c r="L217" t="s">
        <v>30</v>
      </c>
      <c r="M217" t="s">
        <v>31</v>
      </c>
      <c r="N217" t="s">
        <v>22</v>
      </c>
    </row>
    <row r="218" spans="1:14" x14ac:dyDescent="0.3">
      <c r="A218" s="1">
        <v>45003</v>
      </c>
      <c r="B218" s="1" t="str">
        <f t="shared" si="12"/>
        <v>Mar</v>
      </c>
      <c r="C218" s="1" t="str">
        <f t="shared" si="13"/>
        <v>2023</v>
      </c>
      <c r="D218" t="s">
        <v>38</v>
      </c>
      <c r="E218" t="s">
        <v>25</v>
      </c>
      <c r="F218" t="s">
        <v>16</v>
      </c>
      <c r="G218">
        <v>1331.86</v>
      </c>
      <c r="H218">
        <v>1758.98</v>
      </c>
      <c r="I218">
        <v>43</v>
      </c>
      <c r="J218">
        <f t="shared" si="14"/>
        <v>75636.14</v>
      </c>
      <c r="K218">
        <f t="shared" si="15"/>
        <v>18366.160000000003</v>
      </c>
      <c r="L218" t="s">
        <v>17</v>
      </c>
      <c r="M218" t="s">
        <v>27</v>
      </c>
      <c r="N218" t="s">
        <v>22</v>
      </c>
    </row>
    <row r="219" spans="1:14" x14ac:dyDescent="0.3">
      <c r="A219" s="1">
        <v>45004</v>
      </c>
      <c r="B219" s="1" t="str">
        <f t="shared" si="12"/>
        <v>Mar</v>
      </c>
      <c r="C219" s="1" t="str">
        <f t="shared" si="13"/>
        <v>2023</v>
      </c>
      <c r="D219" t="s">
        <v>38</v>
      </c>
      <c r="E219" t="s">
        <v>21</v>
      </c>
      <c r="F219" t="s">
        <v>26</v>
      </c>
      <c r="G219">
        <v>1783.48</v>
      </c>
      <c r="H219">
        <v>1931.56</v>
      </c>
      <c r="I219">
        <v>19</v>
      </c>
      <c r="J219">
        <f t="shared" si="14"/>
        <v>36699.64</v>
      </c>
      <c r="K219">
        <f t="shared" si="15"/>
        <v>2813.5199999999986</v>
      </c>
      <c r="L219" t="s">
        <v>17</v>
      </c>
      <c r="M219" t="s">
        <v>27</v>
      </c>
      <c r="N219" t="s">
        <v>22</v>
      </c>
    </row>
    <row r="220" spans="1:14" x14ac:dyDescent="0.3">
      <c r="A220" s="1">
        <v>45004</v>
      </c>
      <c r="B220" s="1" t="str">
        <f t="shared" si="12"/>
        <v>Mar</v>
      </c>
      <c r="C220" s="1" t="str">
        <f t="shared" si="13"/>
        <v>2023</v>
      </c>
      <c r="D220" t="s">
        <v>24</v>
      </c>
      <c r="E220" t="s">
        <v>34</v>
      </c>
      <c r="F220" t="s">
        <v>29</v>
      </c>
      <c r="G220">
        <v>844.94</v>
      </c>
      <c r="H220">
        <v>1225.6400000000001</v>
      </c>
      <c r="I220">
        <v>2</v>
      </c>
      <c r="J220">
        <f t="shared" si="14"/>
        <v>2451.2800000000002</v>
      </c>
      <c r="K220">
        <f t="shared" si="15"/>
        <v>761.40000000000009</v>
      </c>
      <c r="L220" t="s">
        <v>17</v>
      </c>
      <c r="M220" t="s">
        <v>31</v>
      </c>
      <c r="N220" t="s">
        <v>19</v>
      </c>
    </row>
    <row r="221" spans="1:14" x14ac:dyDescent="0.3">
      <c r="A221" s="1">
        <v>45004</v>
      </c>
      <c r="B221" s="1" t="str">
        <f t="shared" si="12"/>
        <v>Mar</v>
      </c>
      <c r="C221" s="1" t="str">
        <f t="shared" si="13"/>
        <v>2023</v>
      </c>
      <c r="D221" t="s">
        <v>14</v>
      </c>
      <c r="E221" t="s">
        <v>25</v>
      </c>
      <c r="F221" t="s">
        <v>29</v>
      </c>
      <c r="G221">
        <v>2534.94</v>
      </c>
      <c r="H221">
        <v>2755.56</v>
      </c>
      <c r="I221">
        <v>9</v>
      </c>
      <c r="J221">
        <f t="shared" si="14"/>
        <v>24800.04</v>
      </c>
      <c r="K221">
        <f t="shared" si="15"/>
        <v>1985.579999999999</v>
      </c>
      <c r="L221" t="s">
        <v>17</v>
      </c>
      <c r="M221" t="s">
        <v>31</v>
      </c>
      <c r="N221" t="s">
        <v>22</v>
      </c>
    </row>
    <row r="222" spans="1:14" x14ac:dyDescent="0.3">
      <c r="A222" s="1">
        <v>45005</v>
      </c>
      <c r="B222" s="1" t="str">
        <f t="shared" si="12"/>
        <v>Mar</v>
      </c>
      <c r="C222" s="1" t="str">
        <f t="shared" si="13"/>
        <v>2023</v>
      </c>
      <c r="D222" t="s">
        <v>14</v>
      </c>
      <c r="E222" t="s">
        <v>34</v>
      </c>
      <c r="F222" t="s">
        <v>16</v>
      </c>
      <c r="G222">
        <v>4906.17</v>
      </c>
      <c r="H222">
        <v>5107.43</v>
      </c>
      <c r="I222">
        <v>2</v>
      </c>
      <c r="J222">
        <f t="shared" si="14"/>
        <v>10214.86</v>
      </c>
      <c r="K222">
        <f t="shared" si="15"/>
        <v>402.52000000000044</v>
      </c>
      <c r="L222" t="s">
        <v>17</v>
      </c>
      <c r="M222" t="s">
        <v>18</v>
      </c>
      <c r="N222" t="s">
        <v>19</v>
      </c>
    </row>
    <row r="223" spans="1:14" x14ac:dyDescent="0.3">
      <c r="A223" s="1">
        <v>45005</v>
      </c>
      <c r="B223" s="1" t="str">
        <f t="shared" si="12"/>
        <v>Mar</v>
      </c>
      <c r="C223" s="1" t="str">
        <f t="shared" si="13"/>
        <v>2023</v>
      </c>
      <c r="D223" t="s">
        <v>14</v>
      </c>
      <c r="E223" t="s">
        <v>34</v>
      </c>
      <c r="F223" t="s">
        <v>35</v>
      </c>
      <c r="G223">
        <v>4991.68</v>
      </c>
      <c r="H223">
        <v>5296.65</v>
      </c>
      <c r="I223">
        <v>19</v>
      </c>
      <c r="J223">
        <f t="shared" si="14"/>
        <v>100636.34999999999</v>
      </c>
      <c r="K223">
        <f t="shared" si="15"/>
        <v>5794.4299999999876</v>
      </c>
      <c r="L223" t="s">
        <v>30</v>
      </c>
      <c r="M223" t="s">
        <v>27</v>
      </c>
      <c r="N223" t="s">
        <v>19</v>
      </c>
    </row>
    <row r="224" spans="1:14" x14ac:dyDescent="0.3">
      <c r="A224" s="1">
        <v>45006</v>
      </c>
      <c r="B224" s="1" t="str">
        <f t="shared" si="12"/>
        <v>Mar</v>
      </c>
      <c r="C224" s="1" t="str">
        <f t="shared" si="13"/>
        <v>2023</v>
      </c>
      <c r="D224" t="s">
        <v>14</v>
      </c>
      <c r="E224" t="s">
        <v>34</v>
      </c>
      <c r="F224" t="s">
        <v>16</v>
      </c>
      <c r="G224">
        <v>2462.66</v>
      </c>
      <c r="H224">
        <v>2908.0899999999901</v>
      </c>
      <c r="I224">
        <v>29</v>
      </c>
      <c r="J224">
        <f t="shared" si="14"/>
        <v>84334.60999999971</v>
      </c>
      <c r="K224">
        <f t="shared" si="15"/>
        <v>12917.469999999717</v>
      </c>
      <c r="L224" t="s">
        <v>30</v>
      </c>
      <c r="M224" t="s">
        <v>31</v>
      </c>
      <c r="N224" t="s">
        <v>19</v>
      </c>
    </row>
    <row r="225" spans="1:14" x14ac:dyDescent="0.3">
      <c r="A225" s="1">
        <v>45006</v>
      </c>
      <c r="B225" s="1" t="str">
        <f t="shared" si="12"/>
        <v>Mar</v>
      </c>
      <c r="C225" s="1" t="str">
        <f t="shared" si="13"/>
        <v>2023</v>
      </c>
      <c r="D225" t="s">
        <v>38</v>
      </c>
      <c r="E225" t="s">
        <v>25</v>
      </c>
      <c r="F225" t="s">
        <v>26</v>
      </c>
      <c r="G225">
        <v>2890.95</v>
      </c>
      <c r="H225">
        <v>3104.43</v>
      </c>
      <c r="I225">
        <v>40</v>
      </c>
      <c r="J225">
        <f t="shared" si="14"/>
        <v>124177.2</v>
      </c>
      <c r="K225">
        <f t="shared" si="15"/>
        <v>8539.2000000000007</v>
      </c>
      <c r="L225" t="s">
        <v>30</v>
      </c>
      <c r="M225" t="s">
        <v>27</v>
      </c>
      <c r="N225" t="s">
        <v>19</v>
      </c>
    </row>
    <row r="226" spans="1:14" x14ac:dyDescent="0.3">
      <c r="A226" s="1">
        <v>45007</v>
      </c>
      <c r="B226" s="1" t="str">
        <f t="shared" si="12"/>
        <v>Mar</v>
      </c>
      <c r="C226" s="1" t="str">
        <f t="shared" si="13"/>
        <v>2023</v>
      </c>
      <c r="D226" t="s">
        <v>42</v>
      </c>
      <c r="E226" t="s">
        <v>34</v>
      </c>
      <c r="F226" t="s">
        <v>29</v>
      </c>
      <c r="G226">
        <v>2680.82</v>
      </c>
      <c r="H226">
        <v>2771.02</v>
      </c>
      <c r="I226">
        <v>34</v>
      </c>
      <c r="J226">
        <f t="shared" si="14"/>
        <v>94214.68</v>
      </c>
      <c r="K226">
        <f t="shared" si="15"/>
        <v>3066.7999999999938</v>
      </c>
      <c r="L226" t="s">
        <v>30</v>
      </c>
      <c r="M226" t="s">
        <v>27</v>
      </c>
      <c r="N226" t="s">
        <v>19</v>
      </c>
    </row>
    <row r="227" spans="1:14" x14ac:dyDescent="0.3">
      <c r="A227" s="1">
        <v>45007</v>
      </c>
      <c r="B227" s="1" t="str">
        <f t="shared" si="12"/>
        <v>Mar</v>
      </c>
      <c r="C227" s="1" t="str">
        <f t="shared" si="13"/>
        <v>2023</v>
      </c>
      <c r="D227" t="s">
        <v>33</v>
      </c>
      <c r="E227" t="s">
        <v>25</v>
      </c>
      <c r="F227" t="s">
        <v>26</v>
      </c>
      <c r="G227">
        <v>2759.16</v>
      </c>
      <c r="H227">
        <v>2864.45</v>
      </c>
      <c r="I227">
        <v>23</v>
      </c>
      <c r="J227">
        <f t="shared" si="14"/>
        <v>65882.349999999991</v>
      </c>
      <c r="K227">
        <f t="shared" si="15"/>
        <v>2421.6699999999992</v>
      </c>
      <c r="L227" t="s">
        <v>17</v>
      </c>
      <c r="M227" t="s">
        <v>31</v>
      </c>
      <c r="N227" t="s">
        <v>22</v>
      </c>
    </row>
    <row r="228" spans="1:14" x14ac:dyDescent="0.3">
      <c r="A228" s="1">
        <v>45007</v>
      </c>
      <c r="B228" s="1" t="str">
        <f t="shared" si="12"/>
        <v>Mar</v>
      </c>
      <c r="C228" s="1" t="str">
        <f t="shared" si="13"/>
        <v>2023</v>
      </c>
      <c r="D228" t="s">
        <v>38</v>
      </c>
      <c r="E228" t="s">
        <v>15</v>
      </c>
      <c r="F228" t="s">
        <v>35</v>
      </c>
      <c r="G228">
        <v>4885.9799999999996</v>
      </c>
      <c r="H228">
        <v>4949.95</v>
      </c>
      <c r="I228">
        <v>6</v>
      </c>
      <c r="J228">
        <f t="shared" si="14"/>
        <v>29699.699999999997</v>
      </c>
      <c r="K228">
        <f t="shared" si="15"/>
        <v>383.82000000000153</v>
      </c>
      <c r="L228" t="s">
        <v>17</v>
      </c>
      <c r="M228" t="s">
        <v>27</v>
      </c>
      <c r="N228" t="s">
        <v>19</v>
      </c>
    </row>
    <row r="229" spans="1:14" x14ac:dyDescent="0.3">
      <c r="A229" s="1">
        <v>45008</v>
      </c>
      <c r="B229" s="1" t="str">
        <f t="shared" si="12"/>
        <v>Mar</v>
      </c>
      <c r="C229" s="1" t="str">
        <f t="shared" si="13"/>
        <v>2023</v>
      </c>
      <c r="D229" t="s">
        <v>38</v>
      </c>
      <c r="E229" t="s">
        <v>34</v>
      </c>
      <c r="F229" t="s">
        <v>29</v>
      </c>
      <c r="G229">
        <v>3351.33</v>
      </c>
      <c r="H229">
        <v>3711.47</v>
      </c>
      <c r="I229">
        <v>32</v>
      </c>
      <c r="J229">
        <f t="shared" si="14"/>
        <v>118767.03999999999</v>
      </c>
      <c r="K229">
        <f t="shared" si="15"/>
        <v>11524.479999999996</v>
      </c>
      <c r="L229" t="s">
        <v>30</v>
      </c>
      <c r="M229" t="s">
        <v>18</v>
      </c>
      <c r="N229" t="s">
        <v>22</v>
      </c>
    </row>
    <row r="230" spans="1:14" x14ac:dyDescent="0.3">
      <c r="A230" s="1">
        <v>45008</v>
      </c>
      <c r="B230" s="1" t="str">
        <f t="shared" si="12"/>
        <v>Mar</v>
      </c>
      <c r="C230" s="1" t="str">
        <f t="shared" si="13"/>
        <v>2023</v>
      </c>
      <c r="D230" t="s">
        <v>24</v>
      </c>
      <c r="E230" t="s">
        <v>34</v>
      </c>
      <c r="F230" t="s">
        <v>29</v>
      </c>
      <c r="G230">
        <v>1300.03</v>
      </c>
      <c r="H230">
        <v>1745.52</v>
      </c>
      <c r="I230">
        <v>30</v>
      </c>
      <c r="J230">
        <f t="shared" si="14"/>
        <v>52365.599999999999</v>
      </c>
      <c r="K230">
        <f t="shared" si="15"/>
        <v>13364.7</v>
      </c>
      <c r="L230" t="s">
        <v>30</v>
      </c>
      <c r="M230" t="s">
        <v>18</v>
      </c>
      <c r="N230" t="s">
        <v>22</v>
      </c>
    </row>
    <row r="231" spans="1:14" x14ac:dyDescent="0.3">
      <c r="A231" s="1">
        <v>45008</v>
      </c>
      <c r="B231" s="1" t="str">
        <f t="shared" si="12"/>
        <v>Mar</v>
      </c>
      <c r="C231" s="1" t="str">
        <f t="shared" si="13"/>
        <v>2023</v>
      </c>
      <c r="D231" t="s">
        <v>38</v>
      </c>
      <c r="E231" t="s">
        <v>21</v>
      </c>
      <c r="F231" t="s">
        <v>29</v>
      </c>
      <c r="G231">
        <v>2396.6799999999998</v>
      </c>
      <c r="H231">
        <v>2661.54</v>
      </c>
      <c r="I231">
        <v>33</v>
      </c>
      <c r="J231">
        <f t="shared" si="14"/>
        <v>87830.819999999992</v>
      </c>
      <c r="K231">
        <f t="shared" si="15"/>
        <v>8740.3800000000047</v>
      </c>
      <c r="L231" t="s">
        <v>30</v>
      </c>
      <c r="M231" t="s">
        <v>27</v>
      </c>
      <c r="N231" t="s">
        <v>19</v>
      </c>
    </row>
    <row r="232" spans="1:14" x14ac:dyDescent="0.3">
      <c r="A232" s="1">
        <v>45008</v>
      </c>
      <c r="B232" s="1" t="str">
        <f t="shared" si="12"/>
        <v>Mar</v>
      </c>
      <c r="C232" s="1" t="str">
        <f t="shared" si="13"/>
        <v>2023</v>
      </c>
      <c r="D232" t="s">
        <v>14</v>
      </c>
      <c r="E232" t="s">
        <v>25</v>
      </c>
      <c r="F232" t="s">
        <v>26</v>
      </c>
      <c r="G232">
        <v>3070.47</v>
      </c>
      <c r="H232">
        <v>3475.29</v>
      </c>
      <c r="I232">
        <v>18</v>
      </c>
      <c r="J232">
        <f t="shared" si="14"/>
        <v>62555.22</v>
      </c>
      <c r="K232">
        <f t="shared" si="15"/>
        <v>7286.7600000000029</v>
      </c>
      <c r="L232" t="s">
        <v>17</v>
      </c>
      <c r="M232" t="s">
        <v>27</v>
      </c>
      <c r="N232" t="s">
        <v>19</v>
      </c>
    </row>
    <row r="233" spans="1:14" x14ac:dyDescent="0.3">
      <c r="A233" s="1">
        <v>45009</v>
      </c>
      <c r="B233" s="1" t="str">
        <f t="shared" si="12"/>
        <v>Mar</v>
      </c>
      <c r="C233" s="1" t="str">
        <f t="shared" si="13"/>
        <v>2023</v>
      </c>
      <c r="D233" t="s">
        <v>33</v>
      </c>
      <c r="E233" t="s">
        <v>34</v>
      </c>
      <c r="F233" t="s">
        <v>35</v>
      </c>
      <c r="G233">
        <v>637.37</v>
      </c>
      <c r="H233">
        <v>692.71</v>
      </c>
      <c r="I233">
        <v>13</v>
      </c>
      <c r="J233">
        <f t="shared" si="14"/>
        <v>9005.23</v>
      </c>
      <c r="K233">
        <f t="shared" si="15"/>
        <v>719.42000000000041</v>
      </c>
      <c r="L233" t="s">
        <v>30</v>
      </c>
      <c r="M233" t="s">
        <v>31</v>
      </c>
      <c r="N233" t="s">
        <v>19</v>
      </c>
    </row>
    <row r="234" spans="1:14" x14ac:dyDescent="0.3">
      <c r="A234" s="1">
        <v>45010</v>
      </c>
      <c r="B234" s="1" t="str">
        <f t="shared" si="12"/>
        <v>Mar</v>
      </c>
      <c r="C234" s="1" t="str">
        <f t="shared" si="13"/>
        <v>2023</v>
      </c>
      <c r="D234" t="s">
        <v>14</v>
      </c>
      <c r="E234" t="s">
        <v>21</v>
      </c>
      <c r="F234" t="s">
        <v>29</v>
      </c>
      <c r="G234">
        <v>1861.2</v>
      </c>
      <c r="H234">
        <v>2075.35</v>
      </c>
      <c r="I234">
        <v>14</v>
      </c>
      <c r="J234">
        <f t="shared" si="14"/>
        <v>29054.899999999998</v>
      </c>
      <c r="K234">
        <f t="shared" si="15"/>
        <v>2998.0999999999981</v>
      </c>
      <c r="L234" t="s">
        <v>17</v>
      </c>
      <c r="M234" t="s">
        <v>31</v>
      </c>
      <c r="N234" t="s">
        <v>22</v>
      </c>
    </row>
    <row r="235" spans="1:14" x14ac:dyDescent="0.3">
      <c r="A235" s="1">
        <v>45010</v>
      </c>
      <c r="B235" s="1" t="str">
        <f t="shared" si="12"/>
        <v>Mar</v>
      </c>
      <c r="C235" s="1" t="str">
        <f t="shared" si="13"/>
        <v>2023</v>
      </c>
      <c r="D235" t="s">
        <v>38</v>
      </c>
      <c r="E235" t="s">
        <v>34</v>
      </c>
      <c r="F235" t="s">
        <v>35</v>
      </c>
      <c r="G235">
        <v>558.70000000000005</v>
      </c>
      <c r="H235">
        <v>1004.08</v>
      </c>
      <c r="I235">
        <v>17</v>
      </c>
      <c r="J235">
        <f t="shared" si="14"/>
        <v>17069.36</v>
      </c>
      <c r="K235">
        <f t="shared" si="15"/>
        <v>7571.46</v>
      </c>
      <c r="L235" t="s">
        <v>17</v>
      </c>
      <c r="M235" t="s">
        <v>31</v>
      </c>
      <c r="N235" t="s">
        <v>19</v>
      </c>
    </row>
    <row r="236" spans="1:14" x14ac:dyDescent="0.3">
      <c r="A236" s="1">
        <v>45010</v>
      </c>
      <c r="B236" s="1" t="str">
        <f t="shared" si="12"/>
        <v>Mar</v>
      </c>
      <c r="C236" s="1" t="str">
        <f t="shared" si="13"/>
        <v>2023</v>
      </c>
      <c r="D236" t="s">
        <v>14</v>
      </c>
      <c r="E236" t="s">
        <v>34</v>
      </c>
      <c r="F236" t="s">
        <v>29</v>
      </c>
      <c r="G236">
        <v>1702.82</v>
      </c>
      <c r="H236">
        <v>1862.61</v>
      </c>
      <c r="I236">
        <v>1</v>
      </c>
      <c r="J236">
        <f t="shared" si="14"/>
        <v>1862.61</v>
      </c>
      <c r="K236">
        <f t="shared" si="15"/>
        <v>159.78999999999996</v>
      </c>
      <c r="L236" t="s">
        <v>17</v>
      </c>
      <c r="M236" t="s">
        <v>18</v>
      </c>
      <c r="N236" t="s">
        <v>22</v>
      </c>
    </row>
    <row r="237" spans="1:14" x14ac:dyDescent="0.3">
      <c r="A237" s="1">
        <v>45010</v>
      </c>
      <c r="B237" s="1" t="str">
        <f t="shared" si="12"/>
        <v>Mar</v>
      </c>
      <c r="C237" s="1" t="str">
        <f t="shared" si="13"/>
        <v>2023</v>
      </c>
      <c r="D237" t="s">
        <v>24</v>
      </c>
      <c r="E237" t="s">
        <v>34</v>
      </c>
      <c r="F237" t="s">
        <v>35</v>
      </c>
      <c r="G237">
        <v>2495.1999999999998</v>
      </c>
      <c r="H237">
        <v>2600.9299999999998</v>
      </c>
      <c r="I237">
        <v>11</v>
      </c>
      <c r="J237">
        <f t="shared" si="14"/>
        <v>28610.23</v>
      </c>
      <c r="K237">
        <f t="shared" si="15"/>
        <v>1163.0300000000002</v>
      </c>
      <c r="L237" t="s">
        <v>30</v>
      </c>
      <c r="M237" t="s">
        <v>27</v>
      </c>
      <c r="N237" t="s">
        <v>22</v>
      </c>
    </row>
    <row r="238" spans="1:14" x14ac:dyDescent="0.3">
      <c r="A238" s="1">
        <v>45010</v>
      </c>
      <c r="B238" s="1" t="str">
        <f t="shared" si="12"/>
        <v>Mar</v>
      </c>
      <c r="C238" s="1" t="str">
        <f t="shared" si="13"/>
        <v>2023</v>
      </c>
      <c r="D238" t="s">
        <v>38</v>
      </c>
      <c r="E238" t="s">
        <v>21</v>
      </c>
      <c r="F238" t="s">
        <v>26</v>
      </c>
      <c r="G238">
        <v>2610.6</v>
      </c>
      <c r="H238">
        <v>2836.94</v>
      </c>
      <c r="I238">
        <v>38</v>
      </c>
      <c r="J238">
        <f t="shared" si="14"/>
        <v>107803.72</v>
      </c>
      <c r="K238">
        <f t="shared" si="15"/>
        <v>8600.9200000000055</v>
      </c>
      <c r="L238" t="s">
        <v>17</v>
      </c>
      <c r="M238" t="s">
        <v>31</v>
      </c>
      <c r="N238" t="s">
        <v>19</v>
      </c>
    </row>
    <row r="239" spans="1:14" x14ac:dyDescent="0.3">
      <c r="A239" s="1">
        <v>45010</v>
      </c>
      <c r="B239" s="1" t="str">
        <f t="shared" si="12"/>
        <v>Mar</v>
      </c>
      <c r="C239" s="1" t="str">
        <f t="shared" si="13"/>
        <v>2023</v>
      </c>
      <c r="D239" t="s">
        <v>42</v>
      </c>
      <c r="E239" t="s">
        <v>21</v>
      </c>
      <c r="F239" t="s">
        <v>16</v>
      </c>
      <c r="G239">
        <v>2315</v>
      </c>
      <c r="H239">
        <v>2467.2800000000002</v>
      </c>
      <c r="I239">
        <v>49</v>
      </c>
      <c r="J239">
        <f t="shared" si="14"/>
        <v>120896.72000000002</v>
      </c>
      <c r="K239">
        <f t="shared" si="15"/>
        <v>7461.7200000000103</v>
      </c>
      <c r="L239" t="s">
        <v>30</v>
      </c>
      <c r="M239" t="s">
        <v>27</v>
      </c>
      <c r="N239" t="s">
        <v>22</v>
      </c>
    </row>
    <row r="240" spans="1:14" x14ac:dyDescent="0.3">
      <c r="A240" s="1">
        <v>45011</v>
      </c>
      <c r="B240" s="1" t="str">
        <f t="shared" si="12"/>
        <v>Mar</v>
      </c>
      <c r="C240" s="1" t="str">
        <f t="shared" si="13"/>
        <v>2023</v>
      </c>
      <c r="D240" t="s">
        <v>24</v>
      </c>
      <c r="E240" t="s">
        <v>34</v>
      </c>
      <c r="F240" t="s">
        <v>29</v>
      </c>
      <c r="G240">
        <v>1896.35</v>
      </c>
      <c r="H240">
        <v>2394.1999999999998</v>
      </c>
      <c r="I240">
        <v>7</v>
      </c>
      <c r="J240">
        <f t="shared" si="14"/>
        <v>16759.399999999998</v>
      </c>
      <c r="K240">
        <f t="shared" si="15"/>
        <v>3484.9499999999994</v>
      </c>
      <c r="L240" t="s">
        <v>30</v>
      </c>
      <c r="M240" t="s">
        <v>27</v>
      </c>
      <c r="N240" t="s">
        <v>19</v>
      </c>
    </row>
    <row r="241" spans="1:14" x14ac:dyDescent="0.3">
      <c r="A241" s="1">
        <v>45012</v>
      </c>
      <c r="B241" s="1" t="str">
        <f t="shared" si="12"/>
        <v>Mar</v>
      </c>
      <c r="C241" s="1" t="str">
        <f t="shared" si="13"/>
        <v>2023</v>
      </c>
      <c r="D241" t="s">
        <v>38</v>
      </c>
      <c r="E241" t="s">
        <v>25</v>
      </c>
      <c r="F241" t="s">
        <v>29</v>
      </c>
      <c r="G241">
        <v>4354.92</v>
      </c>
      <c r="H241">
        <v>4495.88</v>
      </c>
      <c r="I241">
        <v>37</v>
      </c>
      <c r="J241">
        <f t="shared" si="14"/>
        <v>166347.56</v>
      </c>
      <c r="K241">
        <f t="shared" si="15"/>
        <v>5215.5200000000013</v>
      </c>
      <c r="L241" t="s">
        <v>17</v>
      </c>
      <c r="M241" t="s">
        <v>27</v>
      </c>
      <c r="N241" t="s">
        <v>19</v>
      </c>
    </row>
    <row r="242" spans="1:14" x14ac:dyDescent="0.3">
      <c r="A242" s="1">
        <v>45012</v>
      </c>
      <c r="B242" s="1" t="str">
        <f t="shared" si="12"/>
        <v>Mar</v>
      </c>
      <c r="C242" s="1" t="str">
        <f t="shared" si="13"/>
        <v>2023</v>
      </c>
      <c r="D242" t="s">
        <v>24</v>
      </c>
      <c r="E242" t="s">
        <v>34</v>
      </c>
      <c r="F242" t="s">
        <v>35</v>
      </c>
      <c r="G242">
        <v>4171.83</v>
      </c>
      <c r="H242">
        <v>4320.93</v>
      </c>
      <c r="I242">
        <v>47</v>
      </c>
      <c r="J242">
        <f t="shared" si="14"/>
        <v>203083.71000000002</v>
      </c>
      <c r="K242">
        <f t="shared" si="15"/>
        <v>7007.7000000000171</v>
      </c>
      <c r="L242" t="s">
        <v>30</v>
      </c>
      <c r="M242" t="s">
        <v>18</v>
      </c>
      <c r="N242" t="s">
        <v>19</v>
      </c>
    </row>
    <row r="243" spans="1:14" x14ac:dyDescent="0.3">
      <c r="A243" s="1">
        <v>45012</v>
      </c>
      <c r="B243" s="1" t="str">
        <f t="shared" si="12"/>
        <v>Mar</v>
      </c>
      <c r="C243" s="1" t="str">
        <f t="shared" si="13"/>
        <v>2023</v>
      </c>
      <c r="D243" t="s">
        <v>42</v>
      </c>
      <c r="E243" t="s">
        <v>15</v>
      </c>
      <c r="F243" t="s">
        <v>29</v>
      </c>
      <c r="G243">
        <v>2449.21</v>
      </c>
      <c r="H243">
        <v>2714.12</v>
      </c>
      <c r="I243">
        <v>48</v>
      </c>
      <c r="J243">
        <f t="shared" si="14"/>
        <v>130277.75999999999</v>
      </c>
      <c r="K243">
        <f t="shared" si="15"/>
        <v>12715.679999999993</v>
      </c>
      <c r="L243" t="s">
        <v>30</v>
      </c>
      <c r="M243" t="s">
        <v>31</v>
      </c>
      <c r="N243" t="s">
        <v>19</v>
      </c>
    </row>
    <row r="244" spans="1:14" x14ac:dyDescent="0.3">
      <c r="A244" s="1">
        <v>45013</v>
      </c>
      <c r="B244" s="1" t="str">
        <f t="shared" si="12"/>
        <v>Mar</v>
      </c>
      <c r="C244" s="1" t="str">
        <f t="shared" si="13"/>
        <v>2023</v>
      </c>
      <c r="D244" t="s">
        <v>38</v>
      </c>
      <c r="E244" t="s">
        <v>21</v>
      </c>
      <c r="F244" t="s">
        <v>29</v>
      </c>
      <c r="G244">
        <v>635.28</v>
      </c>
      <c r="H244">
        <v>831.13</v>
      </c>
      <c r="I244">
        <v>14</v>
      </c>
      <c r="J244">
        <f t="shared" si="14"/>
        <v>11635.82</v>
      </c>
      <c r="K244">
        <f t="shared" si="15"/>
        <v>2741.9000000000005</v>
      </c>
      <c r="L244" t="s">
        <v>17</v>
      </c>
      <c r="M244" t="s">
        <v>27</v>
      </c>
      <c r="N244" t="s">
        <v>22</v>
      </c>
    </row>
    <row r="245" spans="1:14" x14ac:dyDescent="0.3">
      <c r="A245" s="1">
        <v>45013</v>
      </c>
      <c r="B245" s="1" t="str">
        <f t="shared" si="12"/>
        <v>Mar</v>
      </c>
      <c r="C245" s="1" t="str">
        <f t="shared" si="13"/>
        <v>2023</v>
      </c>
      <c r="D245" t="s">
        <v>33</v>
      </c>
      <c r="E245" t="s">
        <v>25</v>
      </c>
      <c r="F245" t="s">
        <v>26</v>
      </c>
      <c r="G245">
        <v>1170.07</v>
      </c>
      <c r="H245">
        <v>1669.94999999999</v>
      </c>
      <c r="I245">
        <v>42</v>
      </c>
      <c r="J245">
        <f t="shared" si="14"/>
        <v>70137.899999999587</v>
      </c>
      <c r="K245">
        <f t="shared" si="15"/>
        <v>20994.959999999584</v>
      </c>
      <c r="L245" t="s">
        <v>17</v>
      </c>
      <c r="M245" t="s">
        <v>27</v>
      </c>
      <c r="N245" t="s">
        <v>22</v>
      </c>
    </row>
    <row r="246" spans="1:14" x14ac:dyDescent="0.3">
      <c r="A246" s="1">
        <v>45013</v>
      </c>
      <c r="B246" s="1" t="str">
        <f t="shared" si="12"/>
        <v>Mar</v>
      </c>
      <c r="C246" s="1" t="str">
        <f t="shared" si="13"/>
        <v>2023</v>
      </c>
      <c r="D246" t="s">
        <v>33</v>
      </c>
      <c r="E246" t="s">
        <v>15</v>
      </c>
      <c r="F246" t="s">
        <v>29</v>
      </c>
      <c r="G246">
        <v>523.41999999999996</v>
      </c>
      <c r="H246">
        <v>632.43999999999903</v>
      </c>
      <c r="I246">
        <v>7</v>
      </c>
      <c r="J246">
        <f t="shared" si="14"/>
        <v>4427.0799999999936</v>
      </c>
      <c r="K246">
        <f t="shared" si="15"/>
        <v>763.13999999999351</v>
      </c>
      <c r="L246" t="s">
        <v>30</v>
      </c>
      <c r="M246" t="s">
        <v>27</v>
      </c>
      <c r="N246" t="s">
        <v>19</v>
      </c>
    </row>
    <row r="247" spans="1:14" x14ac:dyDescent="0.3">
      <c r="A247" s="1">
        <v>45014</v>
      </c>
      <c r="B247" s="1" t="str">
        <f t="shared" si="12"/>
        <v>Mar</v>
      </c>
      <c r="C247" s="1" t="str">
        <f t="shared" si="13"/>
        <v>2023</v>
      </c>
      <c r="D247" t="s">
        <v>42</v>
      </c>
      <c r="E247" t="s">
        <v>25</v>
      </c>
      <c r="F247" t="s">
        <v>26</v>
      </c>
      <c r="G247">
        <v>1150.3</v>
      </c>
      <c r="H247">
        <v>1306.02</v>
      </c>
      <c r="I247">
        <v>49</v>
      </c>
      <c r="J247">
        <f t="shared" si="14"/>
        <v>63994.979999999996</v>
      </c>
      <c r="K247">
        <f t="shared" si="15"/>
        <v>7630.2800000000016</v>
      </c>
      <c r="L247" t="s">
        <v>30</v>
      </c>
      <c r="M247" t="s">
        <v>31</v>
      </c>
      <c r="N247" t="s">
        <v>22</v>
      </c>
    </row>
    <row r="248" spans="1:14" x14ac:dyDescent="0.3">
      <c r="A248" s="1">
        <v>45014</v>
      </c>
      <c r="B248" s="1" t="str">
        <f t="shared" si="12"/>
        <v>Mar</v>
      </c>
      <c r="C248" s="1" t="str">
        <f t="shared" si="13"/>
        <v>2023</v>
      </c>
      <c r="D248" t="s">
        <v>14</v>
      </c>
      <c r="E248" t="s">
        <v>21</v>
      </c>
      <c r="F248" t="s">
        <v>16</v>
      </c>
      <c r="G248">
        <v>4020.09</v>
      </c>
      <c r="H248">
        <v>4087.91</v>
      </c>
      <c r="I248">
        <v>45</v>
      </c>
      <c r="J248">
        <f t="shared" si="14"/>
        <v>183955.94999999998</v>
      </c>
      <c r="K248">
        <f t="shared" si="15"/>
        <v>3051.8999999999869</v>
      </c>
      <c r="L248" t="s">
        <v>17</v>
      </c>
      <c r="M248" t="s">
        <v>27</v>
      </c>
      <c r="N248" t="s">
        <v>19</v>
      </c>
    </row>
    <row r="249" spans="1:14" x14ac:dyDescent="0.3">
      <c r="A249" s="1">
        <v>45015</v>
      </c>
      <c r="B249" s="1" t="str">
        <f t="shared" si="12"/>
        <v>Mar</v>
      </c>
      <c r="C249" s="1" t="str">
        <f t="shared" si="13"/>
        <v>2023</v>
      </c>
      <c r="D249" t="s">
        <v>42</v>
      </c>
      <c r="E249" t="s">
        <v>34</v>
      </c>
      <c r="F249" t="s">
        <v>35</v>
      </c>
      <c r="G249">
        <v>319.83</v>
      </c>
      <c r="H249">
        <v>802.43</v>
      </c>
      <c r="I249">
        <v>12</v>
      </c>
      <c r="J249">
        <f t="shared" si="14"/>
        <v>9629.16</v>
      </c>
      <c r="K249">
        <f t="shared" si="15"/>
        <v>5791.2</v>
      </c>
      <c r="L249" t="s">
        <v>30</v>
      </c>
      <c r="M249" t="s">
        <v>31</v>
      </c>
      <c r="N249" t="s">
        <v>22</v>
      </c>
    </row>
    <row r="250" spans="1:14" x14ac:dyDescent="0.3">
      <c r="A250" s="1">
        <v>45015</v>
      </c>
      <c r="B250" s="1" t="str">
        <f t="shared" si="12"/>
        <v>Mar</v>
      </c>
      <c r="C250" s="1" t="str">
        <f t="shared" si="13"/>
        <v>2023</v>
      </c>
      <c r="D250" t="s">
        <v>24</v>
      </c>
      <c r="E250" t="s">
        <v>34</v>
      </c>
      <c r="F250" t="s">
        <v>16</v>
      </c>
      <c r="G250">
        <v>1122.07</v>
      </c>
      <c r="H250">
        <v>1608.76</v>
      </c>
      <c r="I250">
        <v>14</v>
      </c>
      <c r="J250">
        <f t="shared" si="14"/>
        <v>22522.639999999999</v>
      </c>
      <c r="K250">
        <f t="shared" si="15"/>
        <v>6813.6600000000008</v>
      </c>
      <c r="L250" t="s">
        <v>30</v>
      </c>
      <c r="M250" t="s">
        <v>18</v>
      </c>
      <c r="N250" t="s">
        <v>22</v>
      </c>
    </row>
    <row r="251" spans="1:14" x14ac:dyDescent="0.3">
      <c r="A251" s="1">
        <v>45015</v>
      </c>
      <c r="B251" s="1" t="str">
        <f t="shared" si="12"/>
        <v>Mar</v>
      </c>
      <c r="C251" s="1" t="str">
        <f t="shared" si="13"/>
        <v>2023</v>
      </c>
      <c r="D251" t="s">
        <v>33</v>
      </c>
      <c r="E251" t="s">
        <v>25</v>
      </c>
      <c r="F251" t="s">
        <v>29</v>
      </c>
      <c r="G251">
        <v>4364.3500000000004</v>
      </c>
      <c r="H251">
        <v>4710.1000000000004</v>
      </c>
      <c r="I251">
        <v>10</v>
      </c>
      <c r="J251">
        <f t="shared" si="14"/>
        <v>47101</v>
      </c>
      <c r="K251">
        <f t="shared" si="15"/>
        <v>3457.5</v>
      </c>
      <c r="L251" t="s">
        <v>30</v>
      </c>
      <c r="M251" t="s">
        <v>31</v>
      </c>
      <c r="N251" t="s">
        <v>19</v>
      </c>
    </row>
    <row r="252" spans="1:14" x14ac:dyDescent="0.3">
      <c r="A252" s="1">
        <v>45015</v>
      </c>
      <c r="B252" s="1" t="str">
        <f t="shared" si="12"/>
        <v>Mar</v>
      </c>
      <c r="C252" s="1" t="str">
        <f t="shared" si="13"/>
        <v>2023</v>
      </c>
      <c r="D252" t="s">
        <v>24</v>
      </c>
      <c r="E252" t="s">
        <v>21</v>
      </c>
      <c r="F252" t="s">
        <v>29</v>
      </c>
      <c r="G252">
        <v>4763.1099999999997</v>
      </c>
      <c r="H252">
        <v>5119.91</v>
      </c>
      <c r="I252">
        <v>45</v>
      </c>
      <c r="J252">
        <f t="shared" si="14"/>
        <v>230395.94999999998</v>
      </c>
      <c r="K252">
        <f t="shared" si="15"/>
        <v>16056.000000000007</v>
      </c>
      <c r="L252" t="s">
        <v>17</v>
      </c>
      <c r="M252" t="s">
        <v>18</v>
      </c>
      <c r="N252" t="s">
        <v>22</v>
      </c>
    </row>
    <row r="253" spans="1:14" x14ac:dyDescent="0.3">
      <c r="A253" s="1">
        <v>45016</v>
      </c>
      <c r="B253" s="1" t="str">
        <f t="shared" si="12"/>
        <v>Mar</v>
      </c>
      <c r="C253" s="1" t="str">
        <f t="shared" si="13"/>
        <v>2023</v>
      </c>
      <c r="D253" t="s">
        <v>33</v>
      </c>
      <c r="E253" t="s">
        <v>34</v>
      </c>
      <c r="F253" t="s">
        <v>29</v>
      </c>
      <c r="G253">
        <v>4553.2299999999996</v>
      </c>
      <c r="H253">
        <v>5038.74</v>
      </c>
      <c r="I253">
        <v>12</v>
      </c>
      <c r="J253">
        <f t="shared" si="14"/>
        <v>60464.88</v>
      </c>
      <c r="K253">
        <f t="shared" si="15"/>
        <v>5826.1200000000026</v>
      </c>
      <c r="L253" t="s">
        <v>30</v>
      </c>
      <c r="M253" t="s">
        <v>31</v>
      </c>
      <c r="N253" t="s">
        <v>22</v>
      </c>
    </row>
    <row r="254" spans="1:14" x14ac:dyDescent="0.3">
      <c r="A254" s="1">
        <v>45016</v>
      </c>
      <c r="B254" s="1" t="str">
        <f t="shared" si="12"/>
        <v>Mar</v>
      </c>
      <c r="C254" s="1" t="str">
        <f t="shared" si="13"/>
        <v>2023</v>
      </c>
      <c r="D254" t="s">
        <v>38</v>
      </c>
      <c r="E254" t="s">
        <v>34</v>
      </c>
      <c r="F254" t="s">
        <v>35</v>
      </c>
      <c r="G254">
        <v>3883.38</v>
      </c>
      <c r="H254">
        <v>4152.72</v>
      </c>
      <c r="I254">
        <v>38</v>
      </c>
      <c r="J254">
        <f t="shared" si="14"/>
        <v>157803.36000000002</v>
      </c>
      <c r="K254">
        <f t="shared" si="15"/>
        <v>10234.920000000006</v>
      </c>
      <c r="L254" t="s">
        <v>17</v>
      </c>
      <c r="M254" t="s">
        <v>18</v>
      </c>
      <c r="N254" t="s">
        <v>19</v>
      </c>
    </row>
    <row r="255" spans="1:14" x14ac:dyDescent="0.3">
      <c r="A255" s="1">
        <v>45016</v>
      </c>
      <c r="B255" s="1" t="str">
        <f t="shared" si="12"/>
        <v>Mar</v>
      </c>
      <c r="C255" s="1" t="str">
        <f t="shared" si="13"/>
        <v>2023</v>
      </c>
      <c r="D255" t="s">
        <v>24</v>
      </c>
      <c r="E255" t="s">
        <v>21</v>
      </c>
      <c r="F255" t="s">
        <v>16</v>
      </c>
      <c r="G255">
        <v>2751.06</v>
      </c>
      <c r="H255">
        <v>2976.0099999999902</v>
      </c>
      <c r="I255">
        <v>4</v>
      </c>
      <c r="J255">
        <f t="shared" si="14"/>
        <v>11904.039999999961</v>
      </c>
      <c r="K255">
        <f t="shared" si="15"/>
        <v>899.79999999996107</v>
      </c>
      <c r="L255" t="s">
        <v>17</v>
      </c>
      <c r="M255" t="s">
        <v>31</v>
      </c>
      <c r="N255" t="s">
        <v>19</v>
      </c>
    </row>
    <row r="256" spans="1:14" x14ac:dyDescent="0.3">
      <c r="A256" s="1">
        <v>45016</v>
      </c>
      <c r="B256" s="1" t="str">
        <f t="shared" si="12"/>
        <v>Mar</v>
      </c>
      <c r="C256" s="1" t="str">
        <f t="shared" si="13"/>
        <v>2023</v>
      </c>
      <c r="D256" t="s">
        <v>42</v>
      </c>
      <c r="E256" t="s">
        <v>34</v>
      </c>
      <c r="F256" t="s">
        <v>35</v>
      </c>
      <c r="G256">
        <v>3114.88</v>
      </c>
      <c r="H256">
        <v>3256.78</v>
      </c>
      <c r="I256">
        <v>37</v>
      </c>
      <c r="J256">
        <f t="shared" si="14"/>
        <v>120500.86</v>
      </c>
      <c r="K256">
        <f t="shared" si="15"/>
        <v>5250.3000000000029</v>
      </c>
      <c r="L256" t="s">
        <v>17</v>
      </c>
      <c r="M256" t="s">
        <v>31</v>
      </c>
      <c r="N256" t="s">
        <v>19</v>
      </c>
    </row>
    <row r="257" spans="1:14" x14ac:dyDescent="0.3">
      <c r="A257" s="1">
        <v>45018</v>
      </c>
      <c r="B257" s="1" t="str">
        <f t="shared" si="12"/>
        <v>Apr</v>
      </c>
      <c r="C257" s="1" t="str">
        <f t="shared" si="13"/>
        <v>2023</v>
      </c>
      <c r="D257" t="s">
        <v>24</v>
      </c>
      <c r="E257" t="s">
        <v>25</v>
      </c>
      <c r="F257" t="s">
        <v>16</v>
      </c>
      <c r="G257">
        <v>4691.42</v>
      </c>
      <c r="H257">
        <v>5026.1899999999996</v>
      </c>
      <c r="I257">
        <v>46</v>
      </c>
      <c r="J257">
        <f t="shared" si="14"/>
        <v>231204.74</v>
      </c>
      <c r="K257">
        <f t="shared" si="15"/>
        <v>15399.419999999978</v>
      </c>
      <c r="L257" t="s">
        <v>17</v>
      </c>
      <c r="M257" t="s">
        <v>27</v>
      </c>
      <c r="N257" t="s">
        <v>22</v>
      </c>
    </row>
    <row r="258" spans="1:14" x14ac:dyDescent="0.3">
      <c r="A258" s="1">
        <v>45018</v>
      </c>
      <c r="B258" s="1" t="str">
        <f t="shared" ref="B258:B321" si="16">TEXT(A258,"MMM")</f>
        <v>Apr</v>
      </c>
      <c r="C258" s="1" t="str">
        <f t="shared" ref="C258:C321" si="17">TEXT(A258,"YYYY")</f>
        <v>2023</v>
      </c>
      <c r="D258" t="s">
        <v>33</v>
      </c>
      <c r="E258" t="s">
        <v>21</v>
      </c>
      <c r="F258" t="s">
        <v>35</v>
      </c>
      <c r="G258">
        <v>2492.36</v>
      </c>
      <c r="H258">
        <v>2738.68</v>
      </c>
      <c r="I258">
        <v>7</v>
      </c>
      <c r="J258">
        <f t="shared" ref="J258:J321" si="18">(I258*H258)</f>
        <v>19170.759999999998</v>
      </c>
      <c r="K258">
        <f t="shared" ref="K258:K321" si="19">(H258-G258)*I258</f>
        <v>1724.239999999998</v>
      </c>
      <c r="L258" t="s">
        <v>17</v>
      </c>
      <c r="M258" t="s">
        <v>18</v>
      </c>
      <c r="N258" t="s">
        <v>19</v>
      </c>
    </row>
    <row r="259" spans="1:14" x14ac:dyDescent="0.3">
      <c r="A259" s="1">
        <v>45018</v>
      </c>
      <c r="B259" s="1" t="str">
        <f t="shared" si="16"/>
        <v>Apr</v>
      </c>
      <c r="C259" s="1" t="str">
        <f t="shared" si="17"/>
        <v>2023</v>
      </c>
      <c r="D259" t="s">
        <v>24</v>
      </c>
      <c r="E259" t="s">
        <v>25</v>
      </c>
      <c r="F259" t="s">
        <v>35</v>
      </c>
      <c r="G259">
        <v>4262.21</v>
      </c>
      <c r="H259">
        <v>4533.3100000000004</v>
      </c>
      <c r="I259">
        <v>45</v>
      </c>
      <c r="J259">
        <f t="shared" si="18"/>
        <v>203998.95</v>
      </c>
      <c r="K259">
        <f t="shared" si="19"/>
        <v>12199.500000000016</v>
      </c>
      <c r="L259" t="s">
        <v>17</v>
      </c>
      <c r="M259" t="s">
        <v>31</v>
      </c>
      <c r="N259" t="s">
        <v>19</v>
      </c>
    </row>
    <row r="260" spans="1:14" x14ac:dyDescent="0.3">
      <c r="A260" s="1">
        <v>45018</v>
      </c>
      <c r="B260" s="1" t="str">
        <f t="shared" si="16"/>
        <v>Apr</v>
      </c>
      <c r="C260" s="1" t="str">
        <f t="shared" si="17"/>
        <v>2023</v>
      </c>
      <c r="D260" t="s">
        <v>38</v>
      </c>
      <c r="E260" t="s">
        <v>21</v>
      </c>
      <c r="F260" t="s">
        <v>26</v>
      </c>
      <c r="G260">
        <v>3496.15</v>
      </c>
      <c r="H260">
        <v>3955.75</v>
      </c>
      <c r="I260">
        <v>12</v>
      </c>
      <c r="J260">
        <f t="shared" si="18"/>
        <v>47469</v>
      </c>
      <c r="K260">
        <f t="shared" si="19"/>
        <v>5515.1999999999989</v>
      </c>
      <c r="L260" t="s">
        <v>17</v>
      </c>
      <c r="M260" t="s">
        <v>18</v>
      </c>
      <c r="N260" t="s">
        <v>22</v>
      </c>
    </row>
    <row r="261" spans="1:14" x14ac:dyDescent="0.3">
      <c r="A261" s="1">
        <v>45018</v>
      </c>
      <c r="B261" s="1" t="str">
        <f t="shared" si="16"/>
        <v>Apr</v>
      </c>
      <c r="C261" s="1" t="str">
        <f t="shared" si="17"/>
        <v>2023</v>
      </c>
      <c r="D261" t="s">
        <v>14</v>
      </c>
      <c r="E261" t="s">
        <v>34</v>
      </c>
      <c r="F261" t="s">
        <v>29</v>
      </c>
      <c r="G261">
        <v>1524.88</v>
      </c>
      <c r="H261">
        <v>1636.14</v>
      </c>
      <c r="I261">
        <v>10</v>
      </c>
      <c r="J261">
        <f t="shared" si="18"/>
        <v>16361.400000000001</v>
      </c>
      <c r="K261">
        <f t="shared" si="19"/>
        <v>1112.5999999999999</v>
      </c>
      <c r="L261" t="s">
        <v>30</v>
      </c>
      <c r="M261" t="s">
        <v>27</v>
      </c>
      <c r="N261" t="s">
        <v>19</v>
      </c>
    </row>
    <row r="262" spans="1:14" x14ac:dyDescent="0.3">
      <c r="A262" s="1">
        <v>45019</v>
      </c>
      <c r="B262" s="1" t="str">
        <f t="shared" si="16"/>
        <v>Apr</v>
      </c>
      <c r="C262" s="1" t="str">
        <f t="shared" si="17"/>
        <v>2023</v>
      </c>
      <c r="D262" t="s">
        <v>33</v>
      </c>
      <c r="E262" t="s">
        <v>34</v>
      </c>
      <c r="F262" t="s">
        <v>26</v>
      </c>
      <c r="G262">
        <v>2650.95</v>
      </c>
      <c r="H262">
        <v>2860.4199999999901</v>
      </c>
      <c r="I262">
        <v>9</v>
      </c>
      <c r="J262">
        <f t="shared" si="18"/>
        <v>25743.779999999912</v>
      </c>
      <c r="K262">
        <f t="shared" si="19"/>
        <v>1885.2299999999123</v>
      </c>
      <c r="L262" t="s">
        <v>30</v>
      </c>
      <c r="M262" t="s">
        <v>18</v>
      </c>
      <c r="N262" t="s">
        <v>22</v>
      </c>
    </row>
    <row r="263" spans="1:14" x14ac:dyDescent="0.3">
      <c r="A263" s="1">
        <v>45019</v>
      </c>
      <c r="B263" s="1" t="str">
        <f t="shared" si="16"/>
        <v>Apr</v>
      </c>
      <c r="C263" s="1" t="str">
        <f t="shared" si="17"/>
        <v>2023</v>
      </c>
      <c r="D263" t="s">
        <v>42</v>
      </c>
      <c r="E263" t="s">
        <v>15</v>
      </c>
      <c r="F263" t="s">
        <v>16</v>
      </c>
      <c r="G263">
        <v>4495.82</v>
      </c>
      <c r="H263">
        <v>4794.0099999999902</v>
      </c>
      <c r="I263">
        <v>30</v>
      </c>
      <c r="J263">
        <f t="shared" si="18"/>
        <v>143820.2999999997</v>
      </c>
      <c r="K263">
        <f t="shared" si="19"/>
        <v>8945.6999999997151</v>
      </c>
      <c r="L263" t="s">
        <v>30</v>
      </c>
      <c r="M263" t="s">
        <v>27</v>
      </c>
      <c r="N263" t="s">
        <v>22</v>
      </c>
    </row>
    <row r="264" spans="1:14" x14ac:dyDescent="0.3">
      <c r="A264" s="1">
        <v>45020</v>
      </c>
      <c r="B264" s="1" t="str">
        <f t="shared" si="16"/>
        <v>Apr</v>
      </c>
      <c r="C264" s="1" t="str">
        <f t="shared" si="17"/>
        <v>2023</v>
      </c>
      <c r="D264" t="s">
        <v>14</v>
      </c>
      <c r="E264" t="s">
        <v>34</v>
      </c>
      <c r="F264" t="s">
        <v>35</v>
      </c>
      <c r="G264">
        <v>3544.48</v>
      </c>
      <c r="H264">
        <v>3723.66</v>
      </c>
      <c r="I264">
        <v>12</v>
      </c>
      <c r="J264">
        <f t="shared" si="18"/>
        <v>44683.92</v>
      </c>
      <c r="K264">
        <f t="shared" si="19"/>
        <v>2150.159999999998</v>
      </c>
      <c r="L264" t="s">
        <v>17</v>
      </c>
      <c r="M264" t="s">
        <v>18</v>
      </c>
      <c r="N264" t="s">
        <v>19</v>
      </c>
    </row>
    <row r="265" spans="1:14" x14ac:dyDescent="0.3">
      <c r="A265" s="1">
        <v>45020</v>
      </c>
      <c r="B265" s="1" t="str">
        <f t="shared" si="16"/>
        <v>Apr</v>
      </c>
      <c r="C265" s="1" t="str">
        <f t="shared" si="17"/>
        <v>2023</v>
      </c>
      <c r="D265" t="s">
        <v>24</v>
      </c>
      <c r="E265" t="s">
        <v>34</v>
      </c>
      <c r="F265" t="s">
        <v>16</v>
      </c>
      <c r="G265">
        <v>1833.95</v>
      </c>
      <c r="H265">
        <v>2147.14</v>
      </c>
      <c r="I265">
        <v>49</v>
      </c>
      <c r="J265">
        <f t="shared" si="18"/>
        <v>105209.86</v>
      </c>
      <c r="K265">
        <f t="shared" si="19"/>
        <v>15346.309999999992</v>
      </c>
      <c r="L265" t="s">
        <v>17</v>
      </c>
      <c r="M265" t="s">
        <v>31</v>
      </c>
      <c r="N265" t="s">
        <v>22</v>
      </c>
    </row>
    <row r="266" spans="1:14" x14ac:dyDescent="0.3">
      <c r="A266" s="1">
        <v>45021</v>
      </c>
      <c r="B266" s="1" t="str">
        <f t="shared" si="16"/>
        <v>Apr</v>
      </c>
      <c r="C266" s="1" t="str">
        <f t="shared" si="17"/>
        <v>2023</v>
      </c>
      <c r="D266" t="s">
        <v>33</v>
      </c>
      <c r="E266" t="s">
        <v>25</v>
      </c>
      <c r="F266" t="s">
        <v>29</v>
      </c>
      <c r="G266">
        <v>4771.99</v>
      </c>
      <c r="H266">
        <v>5079.6499999999996</v>
      </c>
      <c r="I266">
        <v>26</v>
      </c>
      <c r="J266">
        <f t="shared" si="18"/>
        <v>132070.9</v>
      </c>
      <c r="K266">
        <f t="shared" si="19"/>
        <v>7999.1599999999962</v>
      </c>
      <c r="L266" t="s">
        <v>30</v>
      </c>
      <c r="M266" t="s">
        <v>31</v>
      </c>
      <c r="N266" t="s">
        <v>19</v>
      </c>
    </row>
    <row r="267" spans="1:14" x14ac:dyDescent="0.3">
      <c r="A267" s="1">
        <v>45021</v>
      </c>
      <c r="B267" s="1" t="str">
        <f t="shared" si="16"/>
        <v>Apr</v>
      </c>
      <c r="C267" s="1" t="str">
        <f t="shared" si="17"/>
        <v>2023</v>
      </c>
      <c r="D267" t="s">
        <v>42</v>
      </c>
      <c r="E267" t="s">
        <v>15</v>
      </c>
      <c r="F267" t="s">
        <v>16</v>
      </c>
      <c r="G267">
        <v>1011.65</v>
      </c>
      <c r="H267">
        <v>1084.28</v>
      </c>
      <c r="I267">
        <v>33</v>
      </c>
      <c r="J267">
        <f t="shared" si="18"/>
        <v>35781.24</v>
      </c>
      <c r="K267">
        <f t="shared" si="19"/>
        <v>2396.79</v>
      </c>
      <c r="L267" t="s">
        <v>17</v>
      </c>
      <c r="M267" t="s">
        <v>27</v>
      </c>
      <c r="N267" t="s">
        <v>22</v>
      </c>
    </row>
    <row r="268" spans="1:14" x14ac:dyDescent="0.3">
      <c r="A268" s="1">
        <v>45021</v>
      </c>
      <c r="B268" s="1" t="str">
        <f t="shared" si="16"/>
        <v>Apr</v>
      </c>
      <c r="C268" s="1" t="str">
        <f t="shared" si="17"/>
        <v>2023</v>
      </c>
      <c r="D268" t="s">
        <v>14</v>
      </c>
      <c r="E268" t="s">
        <v>15</v>
      </c>
      <c r="F268" t="s">
        <v>26</v>
      </c>
      <c r="G268">
        <v>2487.19</v>
      </c>
      <c r="H268">
        <v>2521.4499999999998</v>
      </c>
      <c r="I268">
        <v>48</v>
      </c>
      <c r="J268">
        <f t="shared" si="18"/>
        <v>121029.59999999999</v>
      </c>
      <c r="K268">
        <f t="shared" si="19"/>
        <v>1644.4799999999886</v>
      </c>
      <c r="L268" t="s">
        <v>30</v>
      </c>
      <c r="M268" t="s">
        <v>18</v>
      </c>
      <c r="N268" t="s">
        <v>19</v>
      </c>
    </row>
    <row r="269" spans="1:14" x14ac:dyDescent="0.3">
      <c r="A269" s="1">
        <v>45021</v>
      </c>
      <c r="B269" s="1" t="str">
        <f t="shared" si="16"/>
        <v>Apr</v>
      </c>
      <c r="C269" s="1" t="str">
        <f t="shared" si="17"/>
        <v>2023</v>
      </c>
      <c r="D269" t="s">
        <v>38</v>
      </c>
      <c r="E269" t="s">
        <v>34</v>
      </c>
      <c r="F269" t="s">
        <v>16</v>
      </c>
      <c r="G269">
        <v>481</v>
      </c>
      <c r="H269">
        <v>531.02</v>
      </c>
      <c r="I269">
        <v>43</v>
      </c>
      <c r="J269">
        <f t="shared" si="18"/>
        <v>22833.86</v>
      </c>
      <c r="K269">
        <f t="shared" si="19"/>
        <v>2150.8599999999992</v>
      </c>
      <c r="L269" t="s">
        <v>30</v>
      </c>
      <c r="M269" t="s">
        <v>18</v>
      </c>
      <c r="N269" t="s">
        <v>19</v>
      </c>
    </row>
    <row r="270" spans="1:14" x14ac:dyDescent="0.3">
      <c r="A270" s="1">
        <v>45022</v>
      </c>
      <c r="B270" s="1" t="str">
        <f t="shared" si="16"/>
        <v>Apr</v>
      </c>
      <c r="C270" s="1" t="str">
        <f t="shared" si="17"/>
        <v>2023</v>
      </c>
      <c r="D270" t="s">
        <v>14</v>
      </c>
      <c r="E270" t="s">
        <v>25</v>
      </c>
      <c r="F270" t="s">
        <v>35</v>
      </c>
      <c r="G270">
        <v>3993.39</v>
      </c>
      <c r="H270">
        <v>4288.3</v>
      </c>
      <c r="I270">
        <v>4</v>
      </c>
      <c r="J270">
        <f t="shared" si="18"/>
        <v>17153.2</v>
      </c>
      <c r="K270">
        <f t="shared" si="19"/>
        <v>1179.6400000000012</v>
      </c>
      <c r="L270" t="s">
        <v>30</v>
      </c>
      <c r="M270" t="s">
        <v>31</v>
      </c>
      <c r="N270" t="s">
        <v>19</v>
      </c>
    </row>
    <row r="271" spans="1:14" x14ac:dyDescent="0.3">
      <c r="A271" s="1">
        <v>45022</v>
      </c>
      <c r="B271" s="1" t="str">
        <f t="shared" si="16"/>
        <v>Apr</v>
      </c>
      <c r="C271" s="1" t="str">
        <f t="shared" si="17"/>
        <v>2023</v>
      </c>
      <c r="D271" t="s">
        <v>42</v>
      </c>
      <c r="E271" t="s">
        <v>25</v>
      </c>
      <c r="F271" t="s">
        <v>29</v>
      </c>
      <c r="G271">
        <v>3169.37</v>
      </c>
      <c r="H271">
        <v>3304.15</v>
      </c>
      <c r="I271">
        <v>31</v>
      </c>
      <c r="J271">
        <f t="shared" si="18"/>
        <v>102428.65000000001</v>
      </c>
      <c r="K271">
        <f t="shared" si="19"/>
        <v>4178.1800000000057</v>
      </c>
      <c r="L271" t="s">
        <v>17</v>
      </c>
      <c r="M271" t="s">
        <v>31</v>
      </c>
      <c r="N271" t="s">
        <v>22</v>
      </c>
    </row>
    <row r="272" spans="1:14" x14ac:dyDescent="0.3">
      <c r="A272" s="1">
        <v>45022</v>
      </c>
      <c r="B272" s="1" t="str">
        <f t="shared" si="16"/>
        <v>Apr</v>
      </c>
      <c r="C272" s="1" t="str">
        <f t="shared" si="17"/>
        <v>2023</v>
      </c>
      <c r="D272" t="s">
        <v>33</v>
      </c>
      <c r="E272" t="s">
        <v>21</v>
      </c>
      <c r="F272" t="s">
        <v>35</v>
      </c>
      <c r="G272">
        <v>3743.59</v>
      </c>
      <c r="H272">
        <v>4116.38</v>
      </c>
      <c r="I272">
        <v>32</v>
      </c>
      <c r="J272">
        <f t="shared" si="18"/>
        <v>131724.16</v>
      </c>
      <c r="K272">
        <f t="shared" si="19"/>
        <v>11929.279999999999</v>
      </c>
      <c r="L272" t="s">
        <v>17</v>
      </c>
      <c r="M272" t="s">
        <v>18</v>
      </c>
      <c r="N272" t="s">
        <v>19</v>
      </c>
    </row>
    <row r="273" spans="1:14" x14ac:dyDescent="0.3">
      <c r="A273" s="1">
        <v>45023</v>
      </c>
      <c r="B273" s="1" t="str">
        <f t="shared" si="16"/>
        <v>Apr</v>
      </c>
      <c r="C273" s="1" t="str">
        <f t="shared" si="17"/>
        <v>2023</v>
      </c>
      <c r="D273" t="s">
        <v>14</v>
      </c>
      <c r="E273" t="s">
        <v>34</v>
      </c>
      <c r="F273" t="s">
        <v>26</v>
      </c>
      <c r="G273">
        <v>2000.75</v>
      </c>
      <c r="H273">
        <v>2426.9899999999998</v>
      </c>
      <c r="I273">
        <v>4</v>
      </c>
      <c r="J273">
        <f t="shared" si="18"/>
        <v>9707.9599999999991</v>
      </c>
      <c r="K273">
        <f t="shared" si="19"/>
        <v>1704.9599999999991</v>
      </c>
      <c r="L273" t="s">
        <v>17</v>
      </c>
      <c r="M273" t="s">
        <v>27</v>
      </c>
      <c r="N273" t="s">
        <v>19</v>
      </c>
    </row>
    <row r="274" spans="1:14" x14ac:dyDescent="0.3">
      <c r="A274" s="1">
        <v>45023</v>
      </c>
      <c r="B274" s="1" t="str">
        <f t="shared" si="16"/>
        <v>Apr</v>
      </c>
      <c r="C274" s="1" t="str">
        <f t="shared" si="17"/>
        <v>2023</v>
      </c>
      <c r="D274" t="s">
        <v>42</v>
      </c>
      <c r="E274" t="s">
        <v>21</v>
      </c>
      <c r="F274" t="s">
        <v>35</v>
      </c>
      <c r="G274">
        <v>3325.43</v>
      </c>
      <c r="H274">
        <v>3401.1</v>
      </c>
      <c r="I274">
        <v>23</v>
      </c>
      <c r="J274">
        <f t="shared" si="18"/>
        <v>78225.3</v>
      </c>
      <c r="K274">
        <f t="shared" si="19"/>
        <v>1740.4100000000017</v>
      </c>
      <c r="L274" t="s">
        <v>30</v>
      </c>
      <c r="M274" t="s">
        <v>18</v>
      </c>
      <c r="N274" t="s">
        <v>19</v>
      </c>
    </row>
    <row r="275" spans="1:14" x14ac:dyDescent="0.3">
      <c r="A275" s="1">
        <v>45024</v>
      </c>
      <c r="B275" s="1" t="str">
        <f t="shared" si="16"/>
        <v>Apr</v>
      </c>
      <c r="C275" s="1" t="str">
        <f t="shared" si="17"/>
        <v>2023</v>
      </c>
      <c r="D275" t="s">
        <v>33</v>
      </c>
      <c r="E275" t="s">
        <v>34</v>
      </c>
      <c r="F275" t="s">
        <v>29</v>
      </c>
      <c r="G275">
        <v>3597.2</v>
      </c>
      <c r="H275">
        <v>4071.8199999999902</v>
      </c>
      <c r="I275">
        <v>13</v>
      </c>
      <c r="J275">
        <f t="shared" si="18"/>
        <v>52933.659999999873</v>
      </c>
      <c r="K275">
        <f t="shared" si="19"/>
        <v>6170.059999999874</v>
      </c>
      <c r="L275" t="s">
        <v>17</v>
      </c>
      <c r="M275" t="s">
        <v>27</v>
      </c>
      <c r="N275" t="s">
        <v>19</v>
      </c>
    </row>
    <row r="276" spans="1:14" x14ac:dyDescent="0.3">
      <c r="A276" s="1">
        <v>45024</v>
      </c>
      <c r="B276" s="1" t="str">
        <f t="shared" si="16"/>
        <v>Apr</v>
      </c>
      <c r="C276" s="1" t="str">
        <f t="shared" si="17"/>
        <v>2023</v>
      </c>
      <c r="D276" t="s">
        <v>33</v>
      </c>
      <c r="E276" t="s">
        <v>25</v>
      </c>
      <c r="F276" t="s">
        <v>29</v>
      </c>
      <c r="G276">
        <v>3219.88</v>
      </c>
      <c r="H276">
        <v>3384.5</v>
      </c>
      <c r="I276">
        <v>32</v>
      </c>
      <c r="J276">
        <f t="shared" si="18"/>
        <v>108304</v>
      </c>
      <c r="K276">
        <f t="shared" si="19"/>
        <v>5267.8399999999965</v>
      </c>
      <c r="L276" t="s">
        <v>17</v>
      </c>
      <c r="M276" t="s">
        <v>18</v>
      </c>
      <c r="N276" t="s">
        <v>22</v>
      </c>
    </row>
    <row r="277" spans="1:14" x14ac:dyDescent="0.3">
      <c r="A277" s="1">
        <v>45024</v>
      </c>
      <c r="B277" s="1" t="str">
        <f t="shared" si="16"/>
        <v>Apr</v>
      </c>
      <c r="C277" s="1" t="str">
        <f t="shared" si="17"/>
        <v>2023</v>
      </c>
      <c r="D277" t="s">
        <v>33</v>
      </c>
      <c r="E277" t="s">
        <v>34</v>
      </c>
      <c r="F277" t="s">
        <v>29</v>
      </c>
      <c r="G277">
        <v>1221.74</v>
      </c>
      <c r="H277">
        <v>1611.92</v>
      </c>
      <c r="I277">
        <v>29</v>
      </c>
      <c r="J277">
        <f t="shared" si="18"/>
        <v>46745.68</v>
      </c>
      <c r="K277">
        <f t="shared" si="19"/>
        <v>11315.220000000001</v>
      </c>
      <c r="L277" t="s">
        <v>30</v>
      </c>
      <c r="M277" t="s">
        <v>18</v>
      </c>
      <c r="N277" t="s">
        <v>22</v>
      </c>
    </row>
    <row r="278" spans="1:14" x14ac:dyDescent="0.3">
      <c r="A278" s="1">
        <v>45024</v>
      </c>
      <c r="B278" s="1" t="str">
        <f t="shared" si="16"/>
        <v>Apr</v>
      </c>
      <c r="C278" s="1" t="str">
        <f t="shared" si="17"/>
        <v>2023</v>
      </c>
      <c r="D278" t="s">
        <v>33</v>
      </c>
      <c r="E278" t="s">
        <v>25</v>
      </c>
      <c r="F278" t="s">
        <v>29</v>
      </c>
      <c r="G278">
        <v>357.92</v>
      </c>
      <c r="H278">
        <v>461.3</v>
      </c>
      <c r="I278">
        <v>45</v>
      </c>
      <c r="J278">
        <f t="shared" si="18"/>
        <v>20758.5</v>
      </c>
      <c r="K278">
        <f t="shared" si="19"/>
        <v>4652.0999999999995</v>
      </c>
      <c r="L278" t="s">
        <v>17</v>
      </c>
      <c r="M278" t="s">
        <v>18</v>
      </c>
      <c r="N278" t="s">
        <v>19</v>
      </c>
    </row>
    <row r="279" spans="1:14" x14ac:dyDescent="0.3">
      <c r="A279" s="1">
        <v>45024</v>
      </c>
      <c r="B279" s="1" t="str">
        <f t="shared" si="16"/>
        <v>Apr</v>
      </c>
      <c r="C279" s="1" t="str">
        <f t="shared" si="17"/>
        <v>2023</v>
      </c>
      <c r="D279" t="s">
        <v>38</v>
      </c>
      <c r="E279" t="s">
        <v>15</v>
      </c>
      <c r="F279" t="s">
        <v>35</v>
      </c>
      <c r="G279">
        <v>2947.22</v>
      </c>
      <c r="H279">
        <v>3145.27</v>
      </c>
      <c r="I279">
        <v>5</v>
      </c>
      <c r="J279">
        <f t="shared" si="18"/>
        <v>15726.35</v>
      </c>
      <c r="K279">
        <f t="shared" si="19"/>
        <v>990.25000000000091</v>
      </c>
      <c r="L279" t="s">
        <v>30</v>
      </c>
      <c r="M279" t="s">
        <v>31</v>
      </c>
      <c r="N279" t="s">
        <v>22</v>
      </c>
    </row>
    <row r="280" spans="1:14" x14ac:dyDescent="0.3">
      <c r="A280" s="1">
        <v>45025</v>
      </c>
      <c r="B280" s="1" t="str">
        <f t="shared" si="16"/>
        <v>Apr</v>
      </c>
      <c r="C280" s="1" t="str">
        <f t="shared" si="17"/>
        <v>2023</v>
      </c>
      <c r="D280" t="s">
        <v>42</v>
      </c>
      <c r="E280" t="s">
        <v>15</v>
      </c>
      <c r="F280" t="s">
        <v>26</v>
      </c>
      <c r="G280">
        <v>391.19</v>
      </c>
      <c r="H280">
        <v>471.75</v>
      </c>
      <c r="I280">
        <v>3</v>
      </c>
      <c r="J280">
        <f t="shared" si="18"/>
        <v>1415.25</v>
      </c>
      <c r="K280">
        <f t="shared" si="19"/>
        <v>241.68</v>
      </c>
      <c r="L280" t="s">
        <v>17</v>
      </c>
      <c r="M280" t="s">
        <v>18</v>
      </c>
      <c r="N280" t="s">
        <v>19</v>
      </c>
    </row>
    <row r="281" spans="1:14" x14ac:dyDescent="0.3">
      <c r="A281" s="1">
        <v>45025</v>
      </c>
      <c r="B281" s="1" t="str">
        <f t="shared" si="16"/>
        <v>Apr</v>
      </c>
      <c r="C281" s="1" t="str">
        <f t="shared" si="17"/>
        <v>2023</v>
      </c>
      <c r="D281" t="s">
        <v>33</v>
      </c>
      <c r="E281" t="s">
        <v>25</v>
      </c>
      <c r="F281" t="s">
        <v>35</v>
      </c>
      <c r="G281">
        <v>332.62</v>
      </c>
      <c r="H281">
        <v>612.46</v>
      </c>
      <c r="I281">
        <v>1</v>
      </c>
      <c r="J281">
        <f t="shared" si="18"/>
        <v>612.46</v>
      </c>
      <c r="K281">
        <f t="shared" si="19"/>
        <v>279.84000000000003</v>
      </c>
      <c r="L281" t="s">
        <v>17</v>
      </c>
      <c r="M281" t="s">
        <v>18</v>
      </c>
      <c r="N281" t="s">
        <v>22</v>
      </c>
    </row>
    <row r="282" spans="1:14" x14ac:dyDescent="0.3">
      <c r="A282" s="1">
        <v>45027</v>
      </c>
      <c r="B282" s="1" t="str">
        <f t="shared" si="16"/>
        <v>Apr</v>
      </c>
      <c r="C282" s="1" t="str">
        <f t="shared" si="17"/>
        <v>2023</v>
      </c>
      <c r="D282" t="s">
        <v>14</v>
      </c>
      <c r="E282" t="s">
        <v>15</v>
      </c>
      <c r="F282" t="s">
        <v>26</v>
      </c>
      <c r="G282">
        <v>914.22</v>
      </c>
      <c r="H282">
        <v>971.57</v>
      </c>
      <c r="I282">
        <v>21</v>
      </c>
      <c r="J282">
        <f t="shared" si="18"/>
        <v>20402.97</v>
      </c>
      <c r="K282">
        <f t="shared" si="19"/>
        <v>1204.3500000000004</v>
      </c>
      <c r="L282" t="s">
        <v>17</v>
      </c>
      <c r="M282" t="s">
        <v>18</v>
      </c>
      <c r="N282" t="s">
        <v>19</v>
      </c>
    </row>
    <row r="283" spans="1:14" x14ac:dyDescent="0.3">
      <c r="A283" s="1">
        <v>45027</v>
      </c>
      <c r="B283" s="1" t="str">
        <f t="shared" si="16"/>
        <v>Apr</v>
      </c>
      <c r="C283" s="1" t="str">
        <f t="shared" si="17"/>
        <v>2023</v>
      </c>
      <c r="D283" t="s">
        <v>42</v>
      </c>
      <c r="E283" t="s">
        <v>25</v>
      </c>
      <c r="F283" t="s">
        <v>26</v>
      </c>
      <c r="G283">
        <v>2091.21</v>
      </c>
      <c r="H283">
        <v>2527</v>
      </c>
      <c r="I283">
        <v>38</v>
      </c>
      <c r="J283">
        <f t="shared" si="18"/>
        <v>96026</v>
      </c>
      <c r="K283">
        <f t="shared" si="19"/>
        <v>16560.019999999997</v>
      </c>
      <c r="L283" t="s">
        <v>17</v>
      </c>
      <c r="M283" t="s">
        <v>31</v>
      </c>
      <c r="N283" t="s">
        <v>19</v>
      </c>
    </row>
    <row r="284" spans="1:14" x14ac:dyDescent="0.3">
      <c r="A284" s="1">
        <v>45027</v>
      </c>
      <c r="B284" s="1" t="str">
        <f t="shared" si="16"/>
        <v>Apr</v>
      </c>
      <c r="C284" s="1" t="str">
        <f t="shared" si="17"/>
        <v>2023</v>
      </c>
      <c r="D284" t="s">
        <v>14</v>
      </c>
      <c r="E284" t="s">
        <v>34</v>
      </c>
      <c r="F284" t="s">
        <v>26</v>
      </c>
      <c r="G284">
        <v>2831.58</v>
      </c>
      <c r="H284">
        <v>3186.15</v>
      </c>
      <c r="I284">
        <v>17</v>
      </c>
      <c r="J284">
        <f t="shared" si="18"/>
        <v>54164.55</v>
      </c>
      <c r="K284">
        <f t="shared" si="19"/>
        <v>6027.6900000000023</v>
      </c>
      <c r="L284" t="s">
        <v>30</v>
      </c>
      <c r="M284" t="s">
        <v>27</v>
      </c>
      <c r="N284" t="s">
        <v>22</v>
      </c>
    </row>
    <row r="285" spans="1:14" x14ac:dyDescent="0.3">
      <c r="A285" s="1">
        <v>45027</v>
      </c>
      <c r="B285" s="1" t="str">
        <f t="shared" si="16"/>
        <v>Apr</v>
      </c>
      <c r="C285" s="1" t="str">
        <f t="shared" si="17"/>
        <v>2023</v>
      </c>
      <c r="D285" t="s">
        <v>14</v>
      </c>
      <c r="E285" t="s">
        <v>21</v>
      </c>
      <c r="F285" t="s">
        <v>16</v>
      </c>
      <c r="G285">
        <v>2408.81</v>
      </c>
      <c r="H285">
        <v>2624.09</v>
      </c>
      <c r="I285">
        <v>29</v>
      </c>
      <c r="J285">
        <f t="shared" si="18"/>
        <v>76098.61</v>
      </c>
      <c r="K285">
        <f t="shared" si="19"/>
        <v>6243.1200000000063</v>
      </c>
      <c r="L285" t="s">
        <v>17</v>
      </c>
      <c r="M285" t="s">
        <v>18</v>
      </c>
      <c r="N285" t="s">
        <v>19</v>
      </c>
    </row>
    <row r="286" spans="1:14" x14ac:dyDescent="0.3">
      <c r="A286" s="1">
        <v>45028</v>
      </c>
      <c r="B286" s="1" t="str">
        <f t="shared" si="16"/>
        <v>Apr</v>
      </c>
      <c r="C286" s="1" t="str">
        <f t="shared" si="17"/>
        <v>2023</v>
      </c>
      <c r="D286" t="s">
        <v>33</v>
      </c>
      <c r="E286" t="s">
        <v>15</v>
      </c>
      <c r="F286" t="s">
        <v>35</v>
      </c>
      <c r="G286">
        <v>2101.3200000000002</v>
      </c>
      <c r="H286">
        <v>2440.63</v>
      </c>
      <c r="I286">
        <v>40</v>
      </c>
      <c r="J286">
        <f t="shared" si="18"/>
        <v>97625.200000000012</v>
      </c>
      <c r="K286">
        <f t="shared" si="19"/>
        <v>13572.399999999998</v>
      </c>
      <c r="L286" t="s">
        <v>30</v>
      </c>
      <c r="M286" t="s">
        <v>27</v>
      </c>
      <c r="N286" t="s">
        <v>22</v>
      </c>
    </row>
    <row r="287" spans="1:14" x14ac:dyDescent="0.3">
      <c r="A287" s="1">
        <v>45028</v>
      </c>
      <c r="B287" s="1" t="str">
        <f t="shared" si="16"/>
        <v>Apr</v>
      </c>
      <c r="C287" s="1" t="str">
        <f t="shared" si="17"/>
        <v>2023</v>
      </c>
      <c r="D287" t="s">
        <v>14</v>
      </c>
      <c r="E287" t="s">
        <v>25</v>
      </c>
      <c r="F287" t="s">
        <v>26</v>
      </c>
      <c r="G287">
        <v>2443.69</v>
      </c>
      <c r="H287">
        <v>2462.34</v>
      </c>
      <c r="I287">
        <v>19</v>
      </c>
      <c r="J287">
        <f t="shared" si="18"/>
        <v>46784.460000000006</v>
      </c>
      <c r="K287">
        <f t="shared" si="19"/>
        <v>354.35000000000173</v>
      </c>
      <c r="L287" t="s">
        <v>30</v>
      </c>
      <c r="M287" t="s">
        <v>27</v>
      </c>
      <c r="N287" t="s">
        <v>22</v>
      </c>
    </row>
    <row r="288" spans="1:14" x14ac:dyDescent="0.3">
      <c r="A288" s="1">
        <v>45029</v>
      </c>
      <c r="B288" s="1" t="str">
        <f t="shared" si="16"/>
        <v>Apr</v>
      </c>
      <c r="C288" s="1" t="str">
        <f t="shared" si="17"/>
        <v>2023</v>
      </c>
      <c r="D288" t="s">
        <v>33</v>
      </c>
      <c r="E288" t="s">
        <v>25</v>
      </c>
      <c r="F288" t="s">
        <v>16</v>
      </c>
      <c r="G288">
        <v>4739.13</v>
      </c>
      <c r="H288">
        <v>4868.95</v>
      </c>
      <c r="I288">
        <v>24</v>
      </c>
      <c r="J288">
        <f t="shared" si="18"/>
        <v>116854.79999999999</v>
      </c>
      <c r="K288">
        <f t="shared" si="19"/>
        <v>3115.679999999993</v>
      </c>
      <c r="L288" t="s">
        <v>30</v>
      </c>
      <c r="M288" t="s">
        <v>31</v>
      </c>
      <c r="N288" t="s">
        <v>22</v>
      </c>
    </row>
    <row r="289" spans="1:14" x14ac:dyDescent="0.3">
      <c r="A289" s="1">
        <v>45029</v>
      </c>
      <c r="B289" s="1" t="str">
        <f t="shared" si="16"/>
        <v>Apr</v>
      </c>
      <c r="C289" s="1" t="str">
        <f t="shared" si="17"/>
        <v>2023</v>
      </c>
      <c r="D289" t="s">
        <v>38</v>
      </c>
      <c r="E289" t="s">
        <v>21</v>
      </c>
      <c r="F289" t="s">
        <v>35</v>
      </c>
      <c r="G289">
        <v>3951.59</v>
      </c>
      <c r="H289">
        <v>4387.01</v>
      </c>
      <c r="I289">
        <v>36</v>
      </c>
      <c r="J289">
        <f t="shared" si="18"/>
        <v>157932.36000000002</v>
      </c>
      <c r="K289">
        <f t="shared" si="19"/>
        <v>15675.120000000003</v>
      </c>
      <c r="L289" t="s">
        <v>30</v>
      </c>
      <c r="M289" t="s">
        <v>27</v>
      </c>
      <c r="N289" t="s">
        <v>22</v>
      </c>
    </row>
    <row r="290" spans="1:14" x14ac:dyDescent="0.3">
      <c r="A290" s="1">
        <v>45030</v>
      </c>
      <c r="B290" s="1" t="str">
        <f t="shared" si="16"/>
        <v>Apr</v>
      </c>
      <c r="C290" s="1" t="str">
        <f t="shared" si="17"/>
        <v>2023</v>
      </c>
      <c r="D290" t="s">
        <v>24</v>
      </c>
      <c r="E290" t="s">
        <v>34</v>
      </c>
      <c r="F290" t="s">
        <v>35</v>
      </c>
      <c r="G290">
        <v>2631.68</v>
      </c>
      <c r="H290">
        <v>2904.06</v>
      </c>
      <c r="I290">
        <v>2</v>
      </c>
      <c r="J290">
        <f t="shared" si="18"/>
        <v>5808.12</v>
      </c>
      <c r="K290">
        <f t="shared" si="19"/>
        <v>544.76000000000022</v>
      </c>
      <c r="L290" t="s">
        <v>30</v>
      </c>
      <c r="M290" t="s">
        <v>27</v>
      </c>
      <c r="N290" t="s">
        <v>19</v>
      </c>
    </row>
    <row r="291" spans="1:14" x14ac:dyDescent="0.3">
      <c r="A291" s="1">
        <v>45030</v>
      </c>
      <c r="B291" s="1" t="str">
        <f t="shared" si="16"/>
        <v>Apr</v>
      </c>
      <c r="C291" s="1" t="str">
        <f t="shared" si="17"/>
        <v>2023</v>
      </c>
      <c r="D291" t="s">
        <v>24</v>
      </c>
      <c r="E291" t="s">
        <v>15</v>
      </c>
      <c r="F291" t="s">
        <v>29</v>
      </c>
      <c r="G291">
        <v>3712.35</v>
      </c>
      <c r="H291">
        <v>3780.88</v>
      </c>
      <c r="I291">
        <v>45</v>
      </c>
      <c r="J291">
        <f t="shared" si="18"/>
        <v>170139.6</v>
      </c>
      <c r="K291">
        <f t="shared" si="19"/>
        <v>3083.850000000009</v>
      </c>
      <c r="L291" t="s">
        <v>30</v>
      </c>
      <c r="M291" t="s">
        <v>18</v>
      </c>
      <c r="N291" t="s">
        <v>22</v>
      </c>
    </row>
    <row r="292" spans="1:14" x14ac:dyDescent="0.3">
      <c r="A292" s="1">
        <v>45030</v>
      </c>
      <c r="B292" s="1" t="str">
        <f t="shared" si="16"/>
        <v>Apr</v>
      </c>
      <c r="C292" s="1" t="str">
        <f t="shared" si="17"/>
        <v>2023</v>
      </c>
      <c r="D292" t="s">
        <v>42</v>
      </c>
      <c r="E292" t="s">
        <v>21</v>
      </c>
      <c r="F292" t="s">
        <v>29</v>
      </c>
      <c r="G292">
        <v>3472.51</v>
      </c>
      <c r="H292">
        <v>3732</v>
      </c>
      <c r="I292">
        <v>3</v>
      </c>
      <c r="J292">
        <f t="shared" si="18"/>
        <v>11196</v>
      </c>
      <c r="K292">
        <f t="shared" si="19"/>
        <v>778.46999999999935</v>
      </c>
      <c r="L292" t="s">
        <v>30</v>
      </c>
      <c r="M292" t="s">
        <v>18</v>
      </c>
      <c r="N292" t="s">
        <v>19</v>
      </c>
    </row>
    <row r="293" spans="1:14" x14ac:dyDescent="0.3">
      <c r="A293" s="1">
        <v>45030</v>
      </c>
      <c r="B293" s="1" t="str">
        <f t="shared" si="16"/>
        <v>Apr</v>
      </c>
      <c r="C293" s="1" t="str">
        <f t="shared" si="17"/>
        <v>2023</v>
      </c>
      <c r="D293" t="s">
        <v>38</v>
      </c>
      <c r="E293" t="s">
        <v>21</v>
      </c>
      <c r="F293" t="s">
        <v>29</v>
      </c>
      <c r="G293">
        <v>3966.86</v>
      </c>
      <c r="H293">
        <v>4321.04</v>
      </c>
      <c r="I293">
        <v>16</v>
      </c>
      <c r="J293">
        <f t="shared" si="18"/>
        <v>69136.639999999999</v>
      </c>
      <c r="K293">
        <f t="shared" si="19"/>
        <v>5666.8799999999974</v>
      </c>
      <c r="L293" t="s">
        <v>17</v>
      </c>
      <c r="M293" t="s">
        <v>31</v>
      </c>
      <c r="N293" t="s">
        <v>22</v>
      </c>
    </row>
    <row r="294" spans="1:14" x14ac:dyDescent="0.3">
      <c r="A294" s="1">
        <v>45030</v>
      </c>
      <c r="B294" s="1" t="str">
        <f t="shared" si="16"/>
        <v>Apr</v>
      </c>
      <c r="C294" s="1" t="str">
        <f t="shared" si="17"/>
        <v>2023</v>
      </c>
      <c r="D294" t="s">
        <v>24</v>
      </c>
      <c r="E294" t="s">
        <v>15</v>
      </c>
      <c r="F294" t="s">
        <v>16</v>
      </c>
      <c r="G294">
        <v>745.71</v>
      </c>
      <c r="H294">
        <v>856.91</v>
      </c>
      <c r="I294">
        <v>5</v>
      </c>
      <c r="J294">
        <f t="shared" si="18"/>
        <v>4284.55</v>
      </c>
      <c r="K294">
        <f t="shared" si="19"/>
        <v>555.99999999999966</v>
      </c>
      <c r="L294" t="s">
        <v>17</v>
      </c>
      <c r="M294" t="s">
        <v>27</v>
      </c>
      <c r="N294" t="s">
        <v>22</v>
      </c>
    </row>
    <row r="295" spans="1:14" x14ac:dyDescent="0.3">
      <c r="A295" s="1">
        <v>45030</v>
      </c>
      <c r="B295" s="1" t="str">
        <f t="shared" si="16"/>
        <v>Apr</v>
      </c>
      <c r="C295" s="1" t="str">
        <f t="shared" si="17"/>
        <v>2023</v>
      </c>
      <c r="D295" t="s">
        <v>42</v>
      </c>
      <c r="E295" t="s">
        <v>34</v>
      </c>
      <c r="F295" t="s">
        <v>26</v>
      </c>
      <c r="G295">
        <v>4929.55</v>
      </c>
      <c r="H295">
        <v>4990.33</v>
      </c>
      <c r="I295">
        <v>27</v>
      </c>
      <c r="J295">
        <f t="shared" si="18"/>
        <v>134738.91</v>
      </c>
      <c r="K295">
        <f t="shared" si="19"/>
        <v>1641.0599999999931</v>
      </c>
      <c r="L295" t="s">
        <v>17</v>
      </c>
      <c r="M295" t="s">
        <v>31</v>
      </c>
      <c r="N295" t="s">
        <v>19</v>
      </c>
    </row>
    <row r="296" spans="1:14" x14ac:dyDescent="0.3">
      <c r="A296" s="1">
        <v>45031</v>
      </c>
      <c r="B296" s="1" t="str">
        <f t="shared" si="16"/>
        <v>Apr</v>
      </c>
      <c r="C296" s="1" t="str">
        <f t="shared" si="17"/>
        <v>2023</v>
      </c>
      <c r="D296" t="s">
        <v>33</v>
      </c>
      <c r="E296" t="s">
        <v>15</v>
      </c>
      <c r="F296" t="s">
        <v>26</v>
      </c>
      <c r="G296">
        <v>4943.03</v>
      </c>
      <c r="H296">
        <v>5442.15</v>
      </c>
      <c r="I296">
        <v>4</v>
      </c>
      <c r="J296">
        <f t="shared" si="18"/>
        <v>21768.6</v>
      </c>
      <c r="K296">
        <f t="shared" si="19"/>
        <v>1996.4799999999996</v>
      </c>
      <c r="L296" t="s">
        <v>17</v>
      </c>
      <c r="M296" t="s">
        <v>18</v>
      </c>
      <c r="N296" t="s">
        <v>19</v>
      </c>
    </row>
    <row r="297" spans="1:14" x14ac:dyDescent="0.3">
      <c r="A297" s="1">
        <v>45031</v>
      </c>
      <c r="B297" s="1" t="str">
        <f t="shared" si="16"/>
        <v>Apr</v>
      </c>
      <c r="C297" s="1" t="str">
        <f t="shared" si="17"/>
        <v>2023</v>
      </c>
      <c r="D297" t="s">
        <v>38</v>
      </c>
      <c r="E297" t="s">
        <v>15</v>
      </c>
      <c r="F297" t="s">
        <v>16</v>
      </c>
      <c r="G297">
        <v>1375.57</v>
      </c>
      <c r="H297">
        <v>1729.71</v>
      </c>
      <c r="I297">
        <v>42</v>
      </c>
      <c r="J297">
        <f t="shared" si="18"/>
        <v>72647.820000000007</v>
      </c>
      <c r="K297">
        <f t="shared" si="19"/>
        <v>14873.880000000005</v>
      </c>
      <c r="L297" t="s">
        <v>30</v>
      </c>
      <c r="M297" t="s">
        <v>18</v>
      </c>
      <c r="N297" t="s">
        <v>19</v>
      </c>
    </row>
    <row r="298" spans="1:14" x14ac:dyDescent="0.3">
      <c r="A298" s="1">
        <v>45032</v>
      </c>
      <c r="B298" s="1" t="str">
        <f t="shared" si="16"/>
        <v>Apr</v>
      </c>
      <c r="C298" s="1" t="str">
        <f t="shared" si="17"/>
        <v>2023</v>
      </c>
      <c r="D298" t="s">
        <v>42</v>
      </c>
      <c r="E298" t="s">
        <v>34</v>
      </c>
      <c r="F298" t="s">
        <v>26</v>
      </c>
      <c r="G298">
        <v>2371.85</v>
      </c>
      <c r="H298">
        <v>2457.29</v>
      </c>
      <c r="I298">
        <v>7</v>
      </c>
      <c r="J298">
        <f t="shared" si="18"/>
        <v>17201.03</v>
      </c>
      <c r="K298">
        <f t="shared" si="19"/>
        <v>598.08000000000038</v>
      </c>
      <c r="L298" t="s">
        <v>30</v>
      </c>
      <c r="M298" t="s">
        <v>18</v>
      </c>
      <c r="N298" t="s">
        <v>22</v>
      </c>
    </row>
    <row r="299" spans="1:14" x14ac:dyDescent="0.3">
      <c r="A299" s="1">
        <v>45032</v>
      </c>
      <c r="B299" s="1" t="str">
        <f t="shared" si="16"/>
        <v>Apr</v>
      </c>
      <c r="C299" s="1" t="str">
        <f t="shared" si="17"/>
        <v>2023</v>
      </c>
      <c r="D299" t="s">
        <v>33</v>
      </c>
      <c r="E299" t="s">
        <v>21</v>
      </c>
      <c r="F299" t="s">
        <v>35</v>
      </c>
      <c r="G299">
        <v>1362.15</v>
      </c>
      <c r="H299">
        <v>1844.07</v>
      </c>
      <c r="I299">
        <v>44</v>
      </c>
      <c r="J299">
        <f t="shared" si="18"/>
        <v>81139.08</v>
      </c>
      <c r="K299">
        <f t="shared" si="19"/>
        <v>21204.479999999992</v>
      </c>
      <c r="L299" t="s">
        <v>30</v>
      </c>
      <c r="M299" t="s">
        <v>31</v>
      </c>
      <c r="N299" t="s">
        <v>19</v>
      </c>
    </row>
    <row r="300" spans="1:14" x14ac:dyDescent="0.3">
      <c r="A300" s="1">
        <v>45033</v>
      </c>
      <c r="B300" s="1" t="str">
        <f t="shared" si="16"/>
        <v>Apr</v>
      </c>
      <c r="C300" s="1" t="str">
        <f t="shared" si="17"/>
        <v>2023</v>
      </c>
      <c r="D300" t="s">
        <v>42</v>
      </c>
      <c r="E300" t="s">
        <v>25</v>
      </c>
      <c r="F300" t="s">
        <v>26</v>
      </c>
      <c r="G300">
        <v>1935.41</v>
      </c>
      <c r="H300">
        <v>2305.44</v>
      </c>
      <c r="I300">
        <v>2</v>
      </c>
      <c r="J300">
        <f t="shared" si="18"/>
        <v>4610.88</v>
      </c>
      <c r="K300">
        <f t="shared" si="19"/>
        <v>740.06</v>
      </c>
      <c r="L300" t="s">
        <v>17</v>
      </c>
      <c r="M300" t="s">
        <v>31</v>
      </c>
      <c r="N300" t="s">
        <v>19</v>
      </c>
    </row>
    <row r="301" spans="1:14" x14ac:dyDescent="0.3">
      <c r="A301" s="1">
        <v>45034</v>
      </c>
      <c r="B301" s="1" t="str">
        <f t="shared" si="16"/>
        <v>Apr</v>
      </c>
      <c r="C301" s="1" t="str">
        <f t="shared" si="17"/>
        <v>2023</v>
      </c>
      <c r="D301" t="s">
        <v>42</v>
      </c>
      <c r="E301" t="s">
        <v>25</v>
      </c>
      <c r="F301" t="s">
        <v>35</v>
      </c>
      <c r="G301">
        <v>709.97</v>
      </c>
      <c r="H301">
        <v>1029.71</v>
      </c>
      <c r="I301">
        <v>9</v>
      </c>
      <c r="J301">
        <f t="shared" si="18"/>
        <v>9267.39</v>
      </c>
      <c r="K301">
        <f t="shared" si="19"/>
        <v>2877.66</v>
      </c>
      <c r="L301" t="s">
        <v>17</v>
      </c>
      <c r="M301" t="s">
        <v>27</v>
      </c>
      <c r="N301" t="s">
        <v>22</v>
      </c>
    </row>
    <row r="302" spans="1:14" x14ac:dyDescent="0.3">
      <c r="A302" s="1">
        <v>45034</v>
      </c>
      <c r="B302" s="1" t="str">
        <f t="shared" si="16"/>
        <v>Apr</v>
      </c>
      <c r="C302" s="1" t="str">
        <f t="shared" si="17"/>
        <v>2023</v>
      </c>
      <c r="D302" t="s">
        <v>24</v>
      </c>
      <c r="E302" t="s">
        <v>25</v>
      </c>
      <c r="F302" t="s">
        <v>26</v>
      </c>
      <c r="G302">
        <v>1105.05</v>
      </c>
      <c r="H302">
        <v>1200.96</v>
      </c>
      <c r="I302">
        <v>34</v>
      </c>
      <c r="J302">
        <f t="shared" si="18"/>
        <v>40832.639999999999</v>
      </c>
      <c r="K302">
        <f t="shared" si="19"/>
        <v>3260.9400000000028</v>
      </c>
      <c r="L302" t="s">
        <v>17</v>
      </c>
      <c r="M302" t="s">
        <v>18</v>
      </c>
      <c r="N302" t="s">
        <v>19</v>
      </c>
    </row>
    <row r="303" spans="1:14" x14ac:dyDescent="0.3">
      <c r="A303" s="1">
        <v>45034</v>
      </c>
      <c r="B303" s="1" t="str">
        <f t="shared" si="16"/>
        <v>Apr</v>
      </c>
      <c r="C303" s="1" t="str">
        <f t="shared" si="17"/>
        <v>2023</v>
      </c>
      <c r="D303" t="s">
        <v>38</v>
      </c>
      <c r="E303" t="s">
        <v>15</v>
      </c>
      <c r="F303" t="s">
        <v>35</v>
      </c>
      <c r="G303">
        <v>146.27000000000001</v>
      </c>
      <c r="H303">
        <v>498.46</v>
      </c>
      <c r="I303">
        <v>47</v>
      </c>
      <c r="J303">
        <f t="shared" si="18"/>
        <v>23427.62</v>
      </c>
      <c r="K303">
        <f t="shared" si="19"/>
        <v>16552.929999999997</v>
      </c>
      <c r="L303" t="s">
        <v>30</v>
      </c>
      <c r="M303" t="s">
        <v>18</v>
      </c>
      <c r="N303" t="s">
        <v>22</v>
      </c>
    </row>
    <row r="304" spans="1:14" x14ac:dyDescent="0.3">
      <c r="A304" s="1">
        <v>45035</v>
      </c>
      <c r="B304" s="1" t="str">
        <f t="shared" si="16"/>
        <v>Apr</v>
      </c>
      <c r="C304" s="1" t="str">
        <f t="shared" si="17"/>
        <v>2023</v>
      </c>
      <c r="D304" t="s">
        <v>14</v>
      </c>
      <c r="E304" t="s">
        <v>25</v>
      </c>
      <c r="F304" t="s">
        <v>16</v>
      </c>
      <c r="G304">
        <v>3162.92</v>
      </c>
      <c r="H304">
        <v>3409.93</v>
      </c>
      <c r="I304">
        <v>5</v>
      </c>
      <c r="J304">
        <f t="shared" si="18"/>
        <v>17049.649999999998</v>
      </c>
      <c r="K304">
        <f t="shared" si="19"/>
        <v>1235.0499999999988</v>
      </c>
      <c r="L304" t="s">
        <v>30</v>
      </c>
      <c r="M304" t="s">
        <v>18</v>
      </c>
      <c r="N304" t="s">
        <v>19</v>
      </c>
    </row>
    <row r="305" spans="1:14" x14ac:dyDescent="0.3">
      <c r="A305" s="1">
        <v>45036</v>
      </c>
      <c r="B305" s="1" t="str">
        <f t="shared" si="16"/>
        <v>Apr</v>
      </c>
      <c r="C305" s="1" t="str">
        <f t="shared" si="17"/>
        <v>2023</v>
      </c>
      <c r="D305" t="s">
        <v>33</v>
      </c>
      <c r="E305" t="s">
        <v>21</v>
      </c>
      <c r="F305" t="s">
        <v>26</v>
      </c>
      <c r="G305">
        <v>3573.3</v>
      </c>
      <c r="H305">
        <v>3740.13</v>
      </c>
      <c r="I305">
        <v>34</v>
      </c>
      <c r="J305">
        <f t="shared" si="18"/>
        <v>127164.42</v>
      </c>
      <c r="K305">
        <f t="shared" si="19"/>
        <v>5672.2199999999975</v>
      </c>
      <c r="L305" t="s">
        <v>17</v>
      </c>
      <c r="M305" t="s">
        <v>31</v>
      </c>
      <c r="N305" t="s">
        <v>19</v>
      </c>
    </row>
    <row r="306" spans="1:14" x14ac:dyDescent="0.3">
      <c r="A306" s="1">
        <v>45037</v>
      </c>
      <c r="B306" s="1" t="str">
        <f t="shared" si="16"/>
        <v>Apr</v>
      </c>
      <c r="C306" s="1" t="str">
        <f t="shared" si="17"/>
        <v>2023</v>
      </c>
      <c r="D306" t="s">
        <v>38</v>
      </c>
      <c r="E306" t="s">
        <v>15</v>
      </c>
      <c r="F306" t="s">
        <v>29</v>
      </c>
      <c r="G306">
        <v>359.41</v>
      </c>
      <c r="H306">
        <v>733</v>
      </c>
      <c r="I306">
        <v>47</v>
      </c>
      <c r="J306">
        <f t="shared" si="18"/>
        <v>34451</v>
      </c>
      <c r="K306">
        <f t="shared" si="19"/>
        <v>17558.73</v>
      </c>
      <c r="L306" t="s">
        <v>17</v>
      </c>
      <c r="M306" t="s">
        <v>27</v>
      </c>
      <c r="N306" t="s">
        <v>22</v>
      </c>
    </row>
    <row r="307" spans="1:14" x14ac:dyDescent="0.3">
      <c r="A307" s="1">
        <v>45037</v>
      </c>
      <c r="B307" s="1" t="str">
        <f t="shared" si="16"/>
        <v>Apr</v>
      </c>
      <c r="C307" s="1" t="str">
        <f t="shared" si="17"/>
        <v>2023</v>
      </c>
      <c r="D307" t="s">
        <v>38</v>
      </c>
      <c r="E307" t="s">
        <v>21</v>
      </c>
      <c r="F307" t="s">
        <v>16</v>
      </c>
      <c r="G307">
        <v>1591.34</v>
      </c>
      <c r="H307">
        <v>2043.82</v>
      </c>
      <c r="I307">
        <v>17</v>
      </c>
      <c r="J307">
        <f t="shared" si="18"/>
        <v>34744.94</v>
      </c>
      <c r="K307">
        <f t="shared" si="19"/>
        <v>7692.16</v>
      </c>
      <c r="L307" t="s">
        <v>30</v>
      </c>
      <c r="M307" t="s">
        <v>18</v>
      </c>
      <c r="N307" t="s">
        <v>22</v>
      </c>
    </row>
    <row r="308" spans="1:14" x14ac:dyDescent="0.3">
      <c r="A308" s="1">
        <v>45037</v>
      </c>
      <c r="B308" s="1" t="str">
        <f t="shared" si="16"/>
        <v>Apr</v>
      </c>
      <c r="C308" s="1" t="str">
        <f t="shared" si="17"/>
        <v>2023</v>
      </c>
      <c r="D308" t="s">
        <v>33</v>
      </c>
      <c r="E308" t="s">
        <v>34</v>
      </c>
      <c r="F308" t="s">
        <v>16</v>
      </c>
      <c r="G308">
        <v>639.58000000000004</v>
      </c>
      <c r="H308">
        <v>1107.45</v>
      </c>
      <c r="I308">
        <v>29</v>
      </c>
      <c r="J308">
        <f t="shared" si="18"/>
        <v>32116.050000000003</v>
      </c>
      <c r="K308">
        <f t="shared" si="19"/>
        <v>13568.23</v>
      </c>
      <c r="L308" t="s">
        <v>30</v>
      </c>
      <c r="M308" t="s">
        <v>18</v>
      </c>
      <c r="N308" t="s">
        <v>22</v>
      </c>
    </row>
    <row r="309" spans="1:14" x14ac:dyDescent="0.3">
      <c r="A309" s="1">
        <v>45037</v>
      </c>
      <c r="B309" s="1" t="str">
        <f t="shared" si="16"/>
        <v>Apr</v>
      </c>
      <c r="C309" s="1" t="str">
        <f t="shared" si="17"/>
        <v>2023</v>
      </c>
      <c r="D309" t="s">
        <v>24</v>
      </c>
      <c r="E309" t="s">
        <v>21</v>
      </c>
      <c r="F309" t="s">
        <v>35</v>
      </c>
      <c r="G309">
        <v>1130.5999999999999</v>
      </c>
      <c r="H309">
        <v>1466.1799999999901</v>
      </c>
      <c r="I309">
        <v>35</v>
      </c>
      <c r="J309">
        <f t="shared" si="18"/>
        <v>51316.299999999654</v>
      </c>
      <c r="K309">
        <f t="shared" si="19"/>
        <v>11745.299999999655</v>
      </c>
      <c r="L309" t="s">
        <v>17</v>
      </c>
      <c r="M309" t="s">
        <v>18</v>
      </c>
      <c r="N309" t="s">
        <v>19</v>
      </c>
    </row>
    <row r="310" spans="1:14" x14ac:dyDescent="0.3">
      <c r="A310" s="1">
        <v>45037</v>
      </c>
      <c r="B310" s="1" t="str">
        <f t="shared" si="16"/>
        <v>Apr</v>
      </c>
      <c r="C310" s="1" t="str">
        <f t="shared" si="17"/>
        <v>2023</v>
      </c>
      <c r="D310" t="s">
        <v>14</v>
      </c>
      <c r="E310" t="s">
        <v>21</v>
      </c>
      <c r="F310" t="s">
        <v>16</v>
      </c>
      <c r="G310">
        <v>3816.39</v>
      </c>
      <c r="H310">
        <v>4209.4399999999996</v>
      </c>
      <c r="I310">
        <v>17</v>
      </c>
      <c r="J310">
        <f t="shared" si="18"/>
        <v>71560.479999999996</v>
      </c>
      <c r="K310">
        <f t="shared" si="19"/>
        <v>6681.8499999999949</v>
      </c>
      <c r="L310" t="s">
        <v>17</v>
      </c>
      <c r="M310" t="s">
        <v>18</v>
      </c>
      <c r="N310" t="s">
        <v>22</v>
      </c>
    </row>
    <row r="311" spans="1:14" x14ac:dyDescent="0.3">
      <c r="A311" s="1">
        <v>45038</v>
      </c>
      <c r="B311" s="1" t="str">
        <f t="shared" si="16"/>
        <v>Apr</v>
      </c>
      <c r="C311" s="1" t="str">
        <f t="shared" si="17"/>
        <v>2023</v>
      </c>
      <c r="D311" t="s">
        <v>38</v>
      </c>
      <c r="E311" t="s">
        <v>15</v>
      </c>
      <c r="F311" t="s">
        <v>35</v>
      </c>
      <c r="G311">
        <v>4398.16</v>
      </c>
      <c r="H311">
        <v>4439.12</v>
      </c>
      <c r="I311">
        <v>9</v>
      </c>
      <c r="J311">
        <f t="shared" si="18"/>
        <v>39952.080000000002</v>
      </c>
      <c r="K311">
        <f t="shared" si="19"/>
        <v>368.64000000000033</v>
      </c>
      <c r="L311" t="s">
        <v>30</v>
      </c>
      <c r="M311" t="s">
        <v>27</v>
      </c>
      <c r="N311" t="s">
        <v>19</v>
      </c>
    </row>
    <row r="312" spans="1:14" x14ac:dyDescent="0.3">
      <c r="A312" s="1">
        <v>45038</v>
      </c>
      <c r="B312" s="1" t="str">
        <f t="shared" si="16"/>
        <v>Apr</v>
      </c>
      <c r="C312" s="1" t="str">
        <f t="shared" si="17"/>
        <v>2023</v>
      </c>
      <c r="D312" t="s">
        <v>38</v>
      </c>
      <c r="E312" t="s">
        <v>25</v>
      </c>
      <c r="F312" t="s">
        <v>35</v>
      </c>
      <c r="G312">
        <v>3494.19</v>
      </c>
      <c r="H312">
        <v>3746</v>
      </c>
      <c r="I312">
        <v>39</v>
      </c>
      <c r="J312">
        <f t="shared" si="18"/>
        <v>146094</v>
      </c>
      <c r="K312">
        <f t="shared" si="19"/>
        <v>9820.5899999999983</v>
      </c>
      <c r="L312" t="s">
        <v>17</v>
      </c>
      <c r="M312" t="s">
        <v>27</v>
      </c>
      <c r="N312" t="s">
        <v>22</v>
      </c>
    </row>
    <row r="313" spans="1:14" x14ac:dyDescent="0.3">
      <c r="A313" s="1">
        <v>45039</v>
      </c>
      <c r="B313" s="1" t="str">
        <f t="shared" si="16"/>
        <v>Apr</v>
      </c>
      <c r="C313" s="1" t="str">
        <f t="shared" si="17"/>
        <v>2023</v>
      </c>
      <c r="D313" t="s">
        <v>38</v>
      </c>
      <c r="E313" t="s">
        <v>15</v>
      </c>
      <c r="F313" t="s">
        <v>29</v>
      </c>
      <c r="G313">
        <v>600.20000000000005</v>
      </c>
      <c r="H313">
        <v>1059.82</v>
      </c>
      <c r="I313">
        <v>35</v>
      </c>
      <c r="J313">
        <f t="shared" si="18"/>
        <v>37093.699999999997</v>
      </c>
      <c r="K313">
        <f t="shared" si="19"/>
        <v>16086.699999999997</v>
      </c>
      <c r="L313" t="s">
        <v>17</v>
      </c>
      <c r="M313" t="s">
        <v>27</v>
      </c>
      <c r="N313" t="s">
        <v>22</v>
      </c>
    </row>
    <row r="314" spans="1:14" x14ac:dyDescent="0.3">
      <c r="A314" s="1">
        <v>45039</v>
      </c>
      <c r="B314" s="1" t="str">
        <f t="shared" si="16"/>
        <v>Apr</v>
      </c>
      <c r="C314" s="1" t="str">
        <f t="shared" si="17"/>
        <v>2023</v>
      </c>
      <c r="D314" t="s">
        <v>24</v>
      </c>
      <c r="E314" t="s">
        <v>25</v>
      </c>
      <c r="F314" t="s">
        <v>16</v>
      </c>
      <c r="G314">
        <v>4502.09</v>
      </c>
      <c r="H314">
        <v>4879.72</v>
      </c>
      <c r="I314">
        <v>6</v>
      </c>
      <c r="J314">
        <f t="shared" si="18"/>
        <v>29278.32</v>
      </c>
      <c r="K314">
        <f t="shared" si="19"/>
        <v>2265.7800000000007</v>
      </c>
      <c r="L314" t="s">
        <v>30</v>
      </c>
      <c r="M314" t="s">
        <v>31</v>
      </c>
      <c r="N314" t="s">
        <v>19</v>
      </c>
    </row>
    <row r="315" spans="1:14" x14ac:dyDescent="0.3">
      <c r="A315" s="1">
        <v>45039</v>
      </c>
      <c r="B315" s="1" t="str">
        <f t="shared" si="16"/>
        <v>Apr</v>
      </c>
      <c r="C315" s="1" t="str">
        <f t="shared" si="17"/>
        <v>2023</v>
      </c>
      <c r="D315" t="s">
        <v>33</v>
      </c>
      <c r="E315" t="s">
        <v>34</v>
      </c>
      <c r="F315" t="s">
        <v>35</v>
      </c>
      <c r="G315">
        <v>1195.22</v>
      </c>
      <c r="H315">
        <v>1320.06</v>
      </c>
      <c r="I315">
        <v>44</v>
      </c>
      <c r="J315">
        <f t="shared" si="18"/>
        <v>58082.64</v>
      </c>
      <c r="K315">
        <f t="shared" si="19"/>
        <v>5492.9599999999964</v>
      </c>
      <c r="L315" t="s">
        <v>17</v>
      </c>
      <c r="M315" t="s">
        <v>27</v>
      </c>
      <c r="N315" t="s">
        <v>22</v>
      </c>
    </row>
    <row r="316" spans="1:14" x14ac:dyDescent="0.3">
      <c r="A316" s="1">
        <v>45039</v>
      </c>
      <c r="B316" s="1" t="str">
        <f t="shared" si="16"/>
        <v>Apr</v>
      </c>
      <c r="C316" s="1" t="str">
        <f t="shared" si="17"/>
        <v>2023</v>
      </c>
      <c r="D316" t="s">
        <v>38</v>
      </c>
      <c r="E316" t="s">
        <v>34</v>
      </c>
      <c r="F316" t="s">
        <v>29</v>
      </c>
      <c r="G316">
        <v>4110.6000000000004</v>
      </c>
      <c r="H316">
        <v>4488.37</v>
      </c>
      <c r="I316">
        <v>23</v>
      </c>
      <c r="J316">
        <f t="shared" si="18"/>
        <v>103232.51</v>
      </c>
      <c r="K316">
        <f t="shared" si="19"/>
        <v>8688.7099999999882</v>
      </c>
      <c r="L316" t="s">
        <v>30</v>
      </c>
      <c r="M316" t="s">
        <v>31</v>
      </c>
      <c r="N316" t="s">
        <v>19</v>
      </c>
    </row>
    <row r="317" spans="1:14" x14ac:dyDescent="0.3">
      <c r="A317" s="1">
        <v>45040</v>
      </c>
      <c r="B317" s="1" t="str">
        <f t="shared" si="16"/>
        <v>Apr</v>
      </c>
      <c r="C317" s="1" t="str">
        <f t="shared" si="17"/>
        <v>2023</v>
      </c>
      <c r="D317" t="s">
        <v>24</v>
      </c>
      <c r="E317" t="s">
        <v>15</v>
      </c>
      <c r="F317" t="s">
        <v>16</v>
      </c>
      <c r="G317">
        <v>2051</v>
      </c>
      <c r="H317">
        <v>2121.5500000000002</v>
      </c>
      <c r="I317">
        <v>35</v>
      </c>
      <c r="J317">
        <f t="shared" si="18"/>
        <v>74254.25</v>
      </c>
      <c r="K317">
        <f t="shared" si="19"/>
        <v>2469.2500000000064</v>
      </c>
      <c r="L317" t="s">
        <v>17</v>
      </c>
      <c r="M317" t="s">
        <v>18</v>
      </c>
      <c r="N317" t="s">
        <v>22</v>
      </c>
    </row>
    <row r="318" spans="1:14" x14ac:dyDescent="0.3">
      <c r="A318" s="1">
        <v>45040</v>
      </c>
      <c r="B318" s="1" t="str">
        <f t="shared" si="16"/>
        <v>Apr</v>
      </c>
      <c r="C318" s="1" t="str">
        <f t="shared" si="17"/>
        <v>2023</v>
      </c>
      <c r="D318" t="s">
        <v>24</v>
      </c>
      <c r="E318" t="s">
        <v>15</v>
      </c>
      <c r="F318" t="s">
        <v>26</v>
      </c>
      <c r="G318">
        <v>2316.92</v>
      </c>
      <c r="H318">
        <v>2462.63</v>
      </c>
      <c r="I318">
        <v>48</v>
      </c>
      <c r="J318">
        <f t="shared" si="18"/>
        <v>118206.24</v>
      </c>
      <c r="K318">
        <f t="shared" si="19"/>
        <v>6994.0800000000017</v>
      </c>
      <c r="L318" t="s">
        <v>30</v>
      </c>
      <c r="M318" t="s">
        <v>31</v>
      </c>
      <c r="N318" t="s">
        <v>19</v>
      </c>
    </row>
    <row r="319" spans="1:14" x14ac:dyDescent="0.3">
      <c r="A319" s="1">
        <v>45041</v>
      </c>
      <c r="B319" s="1" t="str">
        <f t="shared" si="16"/>
        <v>Apr</v>
      </c>
      <c r="C319" s="1" t="str">
        <f t="shared" si="17"/>
        <v>2023</v>
      </c>
      <c r="D319" t="s">
        <v>42</v>
      </c>
      <c r="E319" t="s">
        <v>34</v>
      </c>
      <c r="F319" t="s">
        <v>29</v>
      </c>
      <c r="G319">
        <v>2615.48</v>
      </c>
      <c r="H319">
        <v>3062.22</v>
      </c>
      <c r="I319">
        <v>24</v>
      </c>
      <c r="J319">
        <f t="shared" si="18"/>
        <v>73493.279999999999</v>
      </c>
      <c r="K319">
        <f t="shared" si="19"/>
        <v>10721.759999999995</v>
      </c>
      <c r="L319" t="s">
        <v>30</v>
      </c>
      <c r="M319" t="s">
        <v>27</v>
      </c>
      <c r="N319" t="s">
        <v>22</v>
      </c>
    </row>
    <row r="320" spans="1:14" x14ac:dyDescent="0.3">
      <c r="A320" s="1">
        <v>45041</v>
      </c>
      <c r="B320" s="1" t="str">
        <f t="shared" si="16"/>
        <v>Apr</v>
      </c>
      <c r="C320" s="1" t="str">
        <f t="shared" si="17"/>
        <v>2023</v>
      </c>
      <c r="D320" t="s">
        <v>24</v>
      </c>
      <c r="E320" t="s">
        <v>21</v>
      </c>
      <c r="F320" t="s">
        <v>16</v>
      </c>
      <c r="G320">
        <v>3519.29</v>
      </c>
      <c r="H320">
        <v>3822.98</v>
      </c>
      <c r="I320">
        <v>44</v>
      </c>
      <c r="J320">
        <f t="shared" si="18"/>
        <v>168211.12</v>
      </c>
      <c r="K320">
        <f t="shared" si="19"/>
        <v>13362.360000000002</v>
      </c>
      <c r="L320" t="s">
        <v>17</v>
      </c>
      <c r="M320" t="s">
        <v>27</v>
      </c>
      <c r="N320" t="s">
        <v>19</v>
      </c>
    </row>
    <row r="321" spans="1:14" x14ac:dyDescent="0.3">
      <c r="A321" s="1">
        <v>45041</v>
      </c>
      <c r="B321" s="1" t="str">
        <f t="shared" si="16"/>
        <v>Apr</v>
      </c>
      <c r="C321" s="1" t="str">
        <f t="shared" si="17"/>
        <v>2023</v>
      </c>
      <c r="D321" t="s">
        <v>14</v>
      </c>
      <c r="E321" t="s">
        <v>25</v>
      </c>
      <c r="F321" t="s">
        <v>35</v>
      </c>
      <c r="G321">
        <v>3155.97</v>
      </c>
      <c r="H321">
        <v>3263.49</v>
      </c>
      <c r="I321">
        <v>10</v>
      </c>
      <c r="J321">
        <f t="shared" si="18"/>
        <v>32634.899999999998</v>
      </c>
      <c r="K321">
        <f t="shared" si="19"/>
        <v>1075.1999999999998</v>
      </c>
      <c r="L321" t="s">
        <v>17</v>
      </c>
      <c r="M321" t="s">
        <v>31</v>
      </c>
      <c r="N321" t="s">
        <v>19</v>
      </c>
    </row>
    <row r="322" spans="1:14" x14ac:dyDescent="0.3">
      <c r="A322" s="1">
        <v>45042</v>
      </c>
      <c r="B322" s="1" t="str">
        <f t="shared" ref="B322:B385" si="20">TEXT(A322,"MMM")</f>
        <v>Apr</v>
      </c>
      <c r="C322" s="1" t="str">
        <f t="shared" ref="C322:C385" si="21">TEXT(A322,"YYYY")</f>
        <v>2023</v>
      </c>
      <c r="D322" t="s">
        <v>24</v>
      </c>
      <c r="E322" t="s">
        <v>25</v>
      </c>
      <c r="F322" t="s">
        <v>35</v>
      </c>
      <c r="G322">
        <v>4399.8</v>
      </c>
      <c r="H322">
        <v>4801.0600000000004</v>
      </c>
      <c r="I322">
        <v>37</v>
      </c>
      <c r="J322">
        <f t="shared" ref="J322:J385" si="22">(I322*H322)</f>
        <v>177639.22</v>
      </c>
      <c r="K322">
        <f t="shared" ref="K322:K385" si="23">(H322-G322)*I322</f>
        <v>14846.620000000008</v>
      </c>
      <c r="L322" t="s">
        <v>30</v>
      </c>
      <c r="M322" t="s">
        <v>27</v>
      </c>
      <c r="N322" t="s">
        <v>22</v>
      </c>
    </row>
    <row r="323" spans="1:14" x14ac:dyDescent="0.3">
      <c r="A323" s="1">
        <v>45043</v>
      </c>
      <c r="B323" s="1" t="str">
        <f t="shared" si="20"/>
        <v>Apr</v>
      </c>
      <c r="C323" s="1" t="str">
        <f t="shared" si="21"/>
        <v>2023</v>
      </c>
      <c r="D323" t="s">
        <v>38</v>
      </c>
      <c r="E323" t="s">
        <v>34</v>
      </c>
      <c r="F323" t="s">
        <v>35</v>
      </c>
      <c r="G323">
        <v>1330.62</v>
      </c>
      <c r="H323">
        <v>1543.6899999999901</v>
      </c>
      <c r="I323">
        <v>25</v>
      </c>
      <c r="J323">
        <f t="shared" si="22"/>
        <v>38592.249999999753</v>
      </c>
      <c r="K323">
        <f t="shared" si="23"/>
        <v>5326.7499999997544</v>
      </c>
      <c r="L323" t="s">
        <v>30</v>
      </c>
      <c r="M323" t="s">
        <v>31</v>
      </c>
      <c r="N323" t="s">
        <v>19</v>
      </c>
    </row>
    <row r="324" spans="1:14" x14ac:dyDescent="0.3">
      <c r="A324" s="1">
        <v>45043</v>
      </c>
      <c r="B324" s="1" t="str">
        <f t="shared" si="20"/>
        <v>Apr</v>
      </c>
      <c r="C324" s="1" t="str">
        <f t="shared" si="21"/>
        <v>2023</v>
      </c>
      <c r="D324" t="s">
        <v>24</v>
      </c>
      <c r="E324" t="s">
        <v>25</v>
      </c>
      <c r="F324" t="s">
        <v>29</v>
      </c>
      <c r="G324">
        <v>355.72</v>
      </c>
      <c r="H324">
        <v>438.27</v>
      </c>
      <c r="I324">
        <v>17</v>
      </c>
      <c r="J324">
        <f t="shared" si="22"/>
        <v>7450.59</v>
      </c>
      <c r="K324">
        <f t="shared" si="23"/>
        <v>1403.3499999999992</v>
      </c>
      <c r="L324" t="s">
        <v>17</v>
      </c>
      <c r="M324" t="s">
        <v>27</v>
      </c>
      <c r="N324" t="s">
        <v>19</v>
      </c>
    </row>
    <row r="325" spans="1:14" x14ac:dyDescent="0.3">
      <c r="A325" s="1">
        <v>45043</v>
      </c>
      <c r="B325" s="1" t="str">
        <f t="shared" si="20"/>
        <v>Apr</v>
      </c>
      <c r="C325" s="1" t="str">
        <f t="shared" si="21"/>
        <v>2023</v>
      </c>
      <c r="D325" t="s">
        <v>42</v>
      </c>
      <c r="E325" t="s">
        <v>25</v>
      </c>
      <c r="F325" t="s">
        <v>16</v>
      </c>
      <c r="G325">
        <v>4772.03</v>
      </c>
      <c r="H325">
        <v>4805.17</v>
      </c>
      <c r="I325">
        <v>33</v>
      </c>
      <c r="J325">
        <f t="shared" si="22"/>
        <v>158570.61000000002</v>
      </c>
      <c r="K325">
        <f t="shared" si="23"/>
        <v>1093.6200000000108</v>
      </c>
      <c r="L325" t="s">
        <v>17</v>
      </c>
      <c r="M325" t="s">
        <v>27</v>
      </c>
      <c r="N325" t="s">
        <v>19</v>
      </c>
    </row>
    <row r="326" spans="1:14" x14ac:dyDescent="0.3">
      <c r="A326" s="1">
        <v>45043</v>
      </c>
      <c r="B326" s="1" t="str">
        <f t="shared" si="20"/>
        <v>Apr</v>
      </c>
      <c r="C326" s="1" t="str">
        <f t="shared" si="21"/>
        <v>2023</v>
      </c>
      <c r="D326" t="s">
        <v>42</v>
      </c>
      <c r="E326" t="s">
        <v>21</v>
      </c>
      <c r="F326" t="s">
        <v>26</v>
      </c>
      <c r="G326">
        <v>2069.0500000000002</v>
      </c>
      <c r="H326">
        <v>2363.9</v>
      </c>
      <c r="I326">
        <v>42</v>
      </c>
      <c r="J326">
        <f t="shared" si="22"/>
        <v>99283.8</v>
      </c>
      <c r="K326">
        <f t="shared" si="23"/>
        <v>12383.699999999997</v>
      </c>
      <c r="L326" t="s">
        <v>17</v>
      </c>
      <c r="M326" t="s">
        <v>18</v>
      </c>
      <c r="N326" t="s">
        <v>19</v>
      </c>
    </row>
    <row r="327" spans="1:14" x14ac:dyDescent="0.3">
      <c r="A327" s="1">
        <v>45043</v>
      </c>
      <c r="B327" s="1" t="str">
        <f t="shared" si="20"/>
        <v>Apr</v>
      </c>
      <c r="C327" s="1" t="str">
        <f t="shared" si="21"/>
        <v>2023</v>
      </c>
      <c r="D327" t="s">
        <v>14</v>
      </c>
      <c r="E327" t="s">
        <v>15</v>
      </c>
      <c r="F327" t="s">
        <v>29</v>
      </c>
      <c r="G327">
        <v>1645.51</v>
      </c>
      <c r="H327">
        <v>2045.53</v>
      </c>
      <c r="I327">
        <v>13</v>
      </c>
      <c r="J327">
        <f t="shared" si="22"/>
        <v>26591.89</v>
      </c>
      <c r="K327">
        <f t="shared" si="23"/>
        <v>5200.26</v>
      </c>
      <c r="L327" t="s">
        <v>17</v>
      </c>
      <c r="M327" t="s">
        <v>18</v>
      </c>
      <c r="N327" t="s">
        <v>22</v>
      </c>
    </row>
    <row r="328" spans="1:14" x14ac:dyDescent="0.3">
      <c r="A328" s="1">
        <v>45044</v>
      </c>
      <c r="B328" s="1" t="str">
        <f t="shared" si="20"/>
        <v>Apr</v>
      </c>
      <c r="C328" s="1" t="str">
        <f t="shared" si="21"/>
        <v>2023</v>
      </c>
      <c r="D328" t="s">
        <v>33</v>
      </c>
      <c r="E328" t="s">
        <v>25</v>
      </c>
      <c r="F328" t="s">
        <v>16</v>
      </c>
      <c r="G328">
        <v>623.32000000000005</v>
      </c>
      <c r="H328">
        <v>853.66</v>
      </c>
      <c r="I328">
        <v>27</v>
      </c>
      <c r="J328">
        <f t="shared" si="22"/>
        <v>23048.82</v>
      </c>
      <c r="K328">
        <f t="shared" si="23"/>
        <v>6219.1799999999976</v>
      </c>
      <c r="L328" t="s">
        <v>17</v>
      </c>
      <c r="M328" t="s">
        <v>18</v>
      </c>
      <c r="N328" t="s">
        <v>19</v>
      </c>
    </row>
    <row r="329" spans="1:14" x14ac:dyDescent="0.3">
      <c r="A329" s="1">
        <v>45044</v>
      </c>
      <c r="B329" s="1" t="str">
        <f t="shared" si="20"/>
        <v>Apr</v>
      </c>
      <c r="C329" s="1" t="str">
        <f t="shared" si="21"/>
        <v>2023</v>
      </c>
      <c r="D329" t="s">
        <v>42</v>
      </c>
      <c r="E329" t="s">
        <v>15</v>
      </c>
      <c r="F329" t="s">
        <v>29</v>
      </c>
      <c r="G329">
        <v>2278.9</v>
      </c>
      <c r="H329">
        <v>2626.9</v>
      </c>
      <c r="I329">
        <v>33</v>
      </c>
      <c r="J329">
        <f t="shared" si="22"/>
        <v>86687.7</v>
      </c>
      <c r="K329">
        <f t="shared" si="23"/>
        <v>11484</v>
      </c>
      <c r="L329" t="s">
        <v>30</v>
      </c>
      <c r="M329" t="s">
        <v>31</v>
      </c>
      <c r="N329" t="s">
        <v>19</v>
      </c>
    </row>
    <row r="330" spans="1:14" x14ac:dyDescent="0.3">
      <c r="A330" s="1">
        <v>45044</v>
      </c>
      <c r="B330" s="1" t="str">
        <f t="shared" si="20"/>
        <v>Apr</v>
      </c>
      <c r="C330" s="1" t="str">
        <f t="shared" si="21"/>
        <v>2023</v>
      </c>
      <c r="D330" t="s">
        <v>33</v>
      </c>
      <c r="E330" t="s">
        <v>15</v>
      </c>
      <c r="F330" t="s">
        <v>35</v>
      </c>
      <c r="G330">
        <v>2311.25</v>
      </c>
      <c r="H330">
        <v>2482.34</v>
      </c>
      <c r="I330">
        <v>5</v>
      </c>
      <c r="J330">
        <f t="shared" si="22"/>
        <v>12411.7</v>
      </c>
      <c r="K330">
        <f t="shared" si="23"/>
        <v>855.45000000000073</v>
      </c>
      <c r="L330" t="s">
        <v>17</v>
      </c>
      <c r="M330" t="s">
        <v>31</v>
      </c>
      <c r="N330" t="s">
        <v>22</v>
      </c>
    </row>
    <row r="331" spans="1:14" x14ac:dyDescent="0.3">
      <c r="A331" s="1">
        <v>45044</v>
      </c>
      <c r="B331" s="1" t="str">
        <f t="shared" si="20"/>
        <v>Apr</v>
      </c>
      <c r="C331" s="1" t="str">
        <f t="shared" si="21"/>
        <v>2023</v>
      </c>
      <c r="D331" t="s">
        <v>33</v>
      </c>
      <c r="E331" t="s">
        <v>21</v>
      </c>
      <c r="F331" t="s">
        <v>16</v>
      </c>
      <c r="G331">
        <v>4037.73</v>
      </c>
      <c r="H331">
        <v>4446.45</v>
      </c>
      <c r="I331">
        <v>25</v>
      </c>
      <c r="J331">
        <f t="shared" si="22"/>
        <v>111161.25</v>
      </c>
      <c r="K331">
        <f t="shared" si="23"/>
        <v>10217.999999999995</v>
      </c>
      <c r="L331" t="s">
        <v>17</v>
      </c>
      <c r="M331" t="s">
        <v>27</v>
      </c>
      <c r="N331" t="s">
        <v>19</v>
      </c>
    </row>
    <row r="332" spans="1:14" x14ac:dyDescent="0.3">
      <c r="A332" s="1">
        <v>45045</v>
      </c>
      <c r="B332" s="1" t="str">
        <f t="shared" si="20"/>
        <v>Apr</v>
      </c>
      <c r="C332" s="1" t="str">
        <f t="shared" si="21"/>
        <v>2023</v>
      </c>
      <c r="D332" t="s">
        <v>33</v>
      </c>
      <c r="E332" t="s">
        <v>15</v>
      </c>
      <c r="F332" t="s">
        <v>29</v>
      </c>
      <c r="G332">
        <v>536.80999999999995</v>
      </c>
      <c r="H332">
        <v>839.92</v>
      </c>
      <c r="I332">
        <v>10</v>
      </c>
      <c r="J332">
        <f t="shared" si="22"/>
        <v>8399.1999999999989</v>
      </c>
      <c r="K332">
        <f t="shared" si="23"/>
        <v>3031.1000000000004</v>
      </c>
      <c r="L332" t="s">
        <v>17</v>
      </c>
      <c r="M332" t="s">
        <v>27</v>
      </c>
      <c r="N332" t="s">
        <v>19</v>
      </c>
    </row>
    <row r="333" spans="1:14" x14ac:dyDescent="0.3">
      <c r="A333" s="1">
        <v>45045</v>
      </c>
      <c r="B333" s="1" t="str">
        <f t="shared" si="20"/>
        <v>Apr</v>
      </c>
      <c r="C333" s="1" t="str">
        <f t="shared" si="21"/>
        <v>2023</v>
      </c>
      <c r="D333" t="s">
        <v>42</v>
      </c>
      <c r="E333" t="s">
        <v>15</v>
      </c>
      <c r="F333" t="s">
        <v>26</v>
      </c>
      <c r="G333">
        <v>4201.1099999999997</v>
      </c>
      <c r="H333">
        <v>4436.5</v>
      </c>
      <c r="I333">
        <v>34</v>
      </c>
      <c r="J333">
        <f t="shared" si="22"/>
        <v>150841</v>
      </c>
      <c r="K333">
        <f t="shared" si="23"/>
        <v>8003.2600000000111</v>
      </c>
      <c r="L333" t="s">
        <v>30</v>
      </c>
      <c r="M333" t="s">
        <v>18</v>
      </c>
      <c r="N333" t="s">
        <v>19</v>
      </c>
    </row>
    <row r="334" spans="1:14" x14ac:dyDescent="0.3">
      <c r="A334" s="1">
        <v>45046</v>
      </c>
      <c r="B334" s="1" t="str">
        <f t="shared" si="20"/>
        <v>Apr</v>
      </c>
      <c r="C334" s="1" t="str">
        <f t="shared" si="21"/>
        <v>2023</v>
      </c>
      <c r="D334" t="s">
        <v>33</v>
      </c>
      <c r="E334" t="s">
        <v>15</v>
      </c>
      <c r="F334" t="s">
        <v>29</v>
      </c>
      <c r="G334">
        <v>2962.41</v>
      </c>
      <c r="H334">
        <v>3218.8999999999901</v>
      </c>
      <c r="I334">
        <v>19</v>
      </c>
      <c r="J334">
        <f t="shared" si="22"/>
        <v>61159.099999999809</v>
      </c>
      <c r="K334">
        <f t="shared" si="23"/>
        <v>4873.309999999814</v>
      </c>
      <c r="L334" t="s">
        <v>30</v>
      </c>
      <c r="M334" t="s">
        <v>18</v>
      </c>
      <c r="N334" t="s">
        <v>22</v>
      </c>
    </row>
    <row r="335" spans="1:14" x14ac:dyDescent="0.3">
      <c r="A335" s="1">
        <v>45046</v>
      </c>
      <c r="B335" s="1" t="str">
        <f t="shared" si="20"/>
        <v>Apr</v>
      </c>
      <c r="C335" s="1" t="str">
        <f t="shared" si="21"/>
        <v>2023</v>
      </c>
      <c r="D335" t="s">
        <v>42</v>
      </c>
      <c r="E335" t="s">
        <v>21</v>
      </c>
      <c r="F335" t="s">
        <v>35</v>
      </c>
      <c r="G335">
        <v>2466.1799999999998</v>
      </c>
      <c r="H335">
        <v>2483.87</v>
      </c>
      <c r="I335">
        <v>18</v>
      </c>
      <c r="J335">
        <f t="shared" si="22"/>
        <v>44709.659999999996</v>
      </c>
      <c r="K335">
        <f t="shared" si="23"/>
        <v>318.42000000000098</v>
      </c>
      <c r="L335" t="s">
        <v>17</v>
      </c>
      <c r="M335" t="s">
        <v>18</v>
      </c>
      <c r="N335" t="s">
        <v>19</v>
      </c>
    </row>
    <row r="336" spans="1:14" x14ac:dyDescent="0.3">
      <c r="A336" s="1">
        <v>45046</v>
      </c>
      <c r="B336" s="1" t="str">
        <f t="shared" si="20"/>
        <v>Apr</v>
      </c>
      <c r="C336" s="1" t="str">
        <f t="shared" si="21"/>
        <v>2023</v>
      </c>
      <c r="D336" t="s">
        <v>14</v>
      </c>
      <c r="E336" t="s">
        <v>21</v>
      </c>
      <c r="F336" t="s">
        <v>26</v>
      </c>
      <c r="G336">
        <v>1000.18</v>
      </c>
      <c r="H336">
        <v>1023.64</v>
      </c>
      <c r="I336">
        <v>3</v>
      </c>
      <c r="J336">
        <f t="shared" si="22"/>
        <v>3070.92</v>
      </c>
      <c r="K336">
        <f t="shared" si="23"/>
        <v>70.380000000000109</v>
      </c>
      <c r="L336" t="s">
        <v>17</v>
      </c>
      <c r="M336" t="s">
        <v>31</v>
      </c>
      <c r="N336" t="s">
        <v>19</v>
      </c>
    </row>
    <row r="337" spans="1:14" x14ac:dyDescent="0.3">
      <c r="A337" s="1">
        <v>45046</v>
      </c>
      <c r="B337" s="1" t="str">
        <f t="shared" si="20"/>
        <v>Apr</v>
      </c>
      <c r="C337" s="1" t="str">
        <f t="shared" si="21"/>
        <v>2023</v>
      </c>
      <c r="D337" t="s">
        <v>38</v>
      </c>
      <c r="E337" t="s">
        <v>21</v>
      </c>
      <c r="F337" t="s">
        <v>29</v>
      </c>
      <c r="G337">
        <v>4337.82</v>
      </c>
      <c r="H337">
        <v>4460.71</v>
      </c>
      <c r="I337">
        <v>32</v>
      </c>
      <c r="J337">
        <f t="shared" si="22"/>
        <v>142742.72</v>
      </c>
      <c r="K337">
        <f t="shared" si="23"/>
        <v>3932.4800000000105</v>
      </c>
      <c r="L337" t="s">
        <v>17</v>
      </c>
      <c r="M337" t="s">
        <v>18</v>
      </c>
      <c r="N337" t="s">
        <v>22</v>
      </c>
    </row>
    <row r="338" spans="1:14" x14ac:dyDescent="0.3">
      <c r="A338" s="1">
        <v>45048</v>
      </c>
      <c r="B338" s="1" t="str">
        <f t="shared" si="20"/>
        <v>May</v>
      </c>
      <c r="C338" s="1" t="str">
        <f t="shared" si="21"/>
        <v>2023</v>
      </c>
      <c r="D338" t="s">
        <v>24</v>
      </c>
      <c r="E338" t="s">
        <v>15</v>
      </c>
      <c r="F338" t="s">
        <v>16</v>
      </c>
      <c r="G338">
        <v>4292.63</v>
      </c>
      <c r="H338">
        <v>4387.99</v>
      </c>
      <c r="I338">
        <v>42</v>
      </c>
      <c r="J338">
        <f t="shared" si="22"/>
        <v>184295.58</v>
      </c>
      <c r="K338">
        <f t="shared" si="23"/>
        <v>4005.1199999999862</v>
      </c>
      <c r="L338" t="s">
        <v>30</v>
      </c>
      <c r="M338" t="s">
        <v>31</v>
      </c>
      <c r="N338" t="s">
        <v>22</v>
      </c>
    </row>
    <row r="339" spans="1:14" x14ac:dyDescent="0.3">
      <c r="A339" s="1">
        <v>45048</v>
      </c>
      <c r="B339" s="1" t="str">
        <f t="shared" si="20"/>
        <v>May</v>
      </c>
      <c r="C339" s="1" t="str">
        <f t="shared" si="21"/>
        <v>2023</v>
      </c>
      <c r="D339" t="s">
        <v>42</v>
      </c>
      <c r="E339" t="s">
        <v>15</v>
      </c>
      <c r="F339" t="s">
        <v>16</v>
      </c>
      <c r="G339">
        <v>3764.14</v>
      </c>
      <c r="H339">
        <v>4100.3999999999996</v>
      </c>
      <c r="I339">
        <v>34</v>
      </c>
      <c r="J339">
        <f t="shared" si="22"/>
        <v>139413.59999999998</v>
      </c>
      <c r="K339">
        <f t="shared" si="23"/>
        <v>11432.839999999993</v>
      </c>
      <c r="L339" t="s">
        <v>17</v>
      </c>
      <c r="M339" t="s">
        <v>27</v>
      </c>
      <c r="N339" t="s">
        <v>22</v>
      </c>
    </row>
    <row r="340" spans="1:14" x14ac:dyDescent="0.3">
      <c r="A340" s="1">
        <v>45048</v>
      </c>
      <c r="B340" s="1" t="str">
        <f t="shared" si="20"/>
        <v>May</v>
      </c>
      <c r="C340" s="1" t="str">
        <f t="shared" si="21"/>
        <v>2023</v>
      </c>
      <c r="D340" t="s">
        <v>42</v>
      </c>
      <c r="E340" t="s">
        <v>34</v>
      </c>
      <c r="F340" t="s">
        <v>16</v>
      </c>
      <c r="G340">
        <v>991.63</v>
      </c>
      <c r="H340">
        <v>1065.55</v>
      </c>
      <c r="I340">
        <v>32</v>
      </c>
      <c r="J340">
        <f t="shared" si="22"/>
        <v>34097.599999999999</v>
      </c>
      <c r="K340">
        <f t="shared" si="23"/>
        <v>2365.4399999999987</v>
      </c>
      <c r="L340" t="s">
        <v>17</v>
      </c>
      <c r="M340" t="s">
        <v>27</v>
      </c>
      <c r="N340" t="s">
        <v>22</v>
      </c>
    </row>
    <row r="341" spans="1:14" x14ac:dyDescent="0.3">
      <c r="A341" s="1">
        <v>45049</v>
      </c>
      <c r="B341" s="1" t="str">
        <f t="shared" si="20"/>
        <v>May</v>
      </c>
      <c r="C341" s="1" t="str">
        <f t="shared" si="21"/>
        <v>2023</v>
      </c>
      <c r="D341" t="s">
        <v>24</v>
      </c>
      <c r="E341" t="s">
        <v>25</v>
      </c>
      <c r="F341" t="s">
        <v>26</v>
      </c>
      <c r="G341">
        <v>2680.22</v>
      </c>
      <c r="H341">
        <v>3027.9199999999901</v>
      </c>
      <c r="I341">
        <v>30</v>
      </c>
      <c r="J341">
        <f t="shared" si="22"/>
        <v>90837.5999999997</v>
      </c>
      <c r="K341">
        <f t="shared" si="23"/>
        <v>10430.999999999709</v>
      </c>
      <c r="L341" t="s">
        <v>17</v>
      </c>
      <c r="M341" t="s">
        <v>27</v>
      </c>
      <c r="N341" t="s">
        <v>19</v>
      </c>
    </row>
    <row r="342" spans="1:14" x14ac:dyDescent="0.3">
      <c r="A342" s="1">
        <v>45049</v>
      </c>
      <c r="B342" s="1" t="str">
        <f t="shared" si="20"/>
        <v>May</v>
      </c>
      <c r="C342" s="1" t="str">
        <f t="shared" si="21"/>
        <v>2023</v>
      </c>
      <c r="D342" t="s">
        <v>42</v>
      </c>
      <c r="E342" t="s">
        <v>21</v>
      </c>
      <c r="F342" t="s">
        <v>16</v>
      </c>
      <c r="G342">
        <v>502.86</v>
      </c>
      <c r="H342">
        <v>687.6</v>
      </c>
      <c r="I342">
        <v>37</v>
      </c>
      <c r="J342">
        <f t="shared" si="22"/>
        <v>25441.200000000001</v>
      </c>
      <c r="K342">
        <f t="shared" si="23"/>
        <v>6835.38</v>
      </c>
      <c r="L342" t="s">
        <v>17</v>
      </c>
      <c r="M342" t="s">
        <v>18</v>
      </c>
      <c r="N342" t="s">
        <v>19</v>
      </c>
    </row>
    <row r="343" spans="1:14" x14ac:dyDescent="0.3">
      <c r="A343" s="1">
        <v>45049</v>
      </c>
      <c r="B343" s="1" t="str">
        <f t="shared" si="20"/>
        <v>May</v>
      </c>
      <c r="C343" s="1" t="str">
        <f t="shared" si="21"/>
        <v>2023</v>
      </c>
      <c r="D343" t="s">
        <v>14</v>
      </c>
      <c r="E343" t="s">
        <v>25</v>
      </c>
      <c r="F343" t="s">
        <v>16</v>
      </c>
      <c r="G343">
        <v>2894.18</v>
      </c>
      <c r="H343">
        <v>3193.92</v>
      </c>
      <c r="I343">
        <v>41</v>
      </c>
      <c r="J343">
        <f t="shared" si="22"/>
        <v>130950.72</v>
      </c>
      <c r="K343">
        <f t="shared" si="23"/>
        <v>12289.340000000009</v>
      </c>
      <c r="L343" t="s">
        <v>30</v>
      </c>
      <c r="M343" t="s">
        <v>27</v>
      </c>
      <c r="N343" t="s">
        <v>22</v>
      </c>
    </row>
    <row r="344" spans="1:14" x14ac:dyDescent="0.3">
      <c r="A344" s="1">
        <v>45050</v>
      </c>
      <c r="B344" s="1" t="str">
        <f t="shared" si="20"/>
        <v>May</v>
      </c>
      <c r="C344" s="1" t="str">
        <f t="shared" si="21"/>
        <v>2023</v>
      </c>
      <c r="D344" t="s">
        <v>14</v>
      </c>
      <c r="E344" t="s">
        <v>21</v>
      </c>
      <c r="F344" t="s">
        <v>26</v>
      </c>
      <c r="G344">
        <v>2248.71</v>
      </c>
      <c r="H344">
        <v>2626.02</v>
      </c>
      <c r="I344">
        <v>25</v>
      </c>
      <c r="J344">
        <f t="shared" si="22"/>
        <v>65650.5</v>
      </c>
      <c r="K344">
        <f t="shared" si="23"/>
        <v>9432.7499999999982</v>
      </c>
      <c r="L344" t="s">
        <v>30</v>
      </c>
      <c r="M344" t="s">
        <v>27</v>
      </c>
      <c r="N344" t="s">
        <v>19</v>
      </c>
    </row>
    <row r="345" spans="1:14" x14ac:dyDescent="0.3">
      <c r="A345" s="1">
        <v>45051</v>
      </c>
      <c r="B345" s="1" t="str">
        <f t="shared" si="20"/>
        <v>May</v>
      </c>
      <c r="C345" s="1" t="str">
        <f t="shared" si="21"/>
        <v>2023</v>
      </c>
      <c r="D345" t="s">
        <v>38</v>
      </c>
      <c r="E345" t="s">
        <v>25</v>
      </c>
      <c r="F345" t="s">
        <v>29</v>
      </c>
      <c r="G345">
        <v>992.17</v>
      </c>
      <c r="H345">
        <v>1263.49</v>
      </c>
      <c r="I345">
        <v>26</v>
      </c>
      <c r="J345">
        <f t="shared" si="22"/>
        <v>32850.74</v>
      </c>
      <c r="K345">
        <f t="shared" si="23"/>
        <v>7054.3200000000015</v>
      </c>
      <c r="L345" t="s">
        <v>17</v>
      </c>
      <c r="M345" t="s">
        <v>27</v>
      </c>
      <c r="N345" t="s">
        <v>22</v>
      </c>
    </row>
    <row r="346" spans="1:14" x14ac:dyDescent="0.3">
      <c r="A346" s="1">
        <v>45053</v>
      </c>
      <c r="B346" s="1" t="str">
        <f t="shared" si="20"/>
        <v>May</v>
      </c>
      <c r="C346" s="1" t="str">
        <f t="shared" si="21"/>
        <v>2023</v>
      </c>
      <c r="D346" t="s">
        <v>24</v>
      </c>
      <c r="E346" t="s">
        <v>34</v>
      </c>
      <c r="F346" t="s">
        <v>29</v>
      </c>
      <c r="G346">
        <v>1566.03</v>
      </c>
      <c r="H346">
        <v>1576.34</v>
      </c>
      <c r="I346">
        <v>28</v>
      </c>
      <c r="J346">
        <f t="shared" si="22"/>
        <v>44137.52</v>
      </c>
      <c r="K346">
        <f t="shared" si="23"/>
        <v>288.67999999999847</v>
      </c>
      <c r="L346" t="s">
        <v>17</v>
      </c>
      <c r="M346" t="s">
        <v>27</v>
      </c>
      <c r="N346" t="s">
        <v>19</v>
      </c>
    </row>
    <row r="347" spans="1:14" x14ac:dyDescent="0.3">
      <c r="A347" s="1">
        <v>45053</v>
      </c>
      <c r="B347" s="1" t="str">
        <f t="shared" si="20"/>
        <v>May</v>
      </c>
      <c r="C347" s="1" t="str">
        <f t="shared" si="21"/>
        <v>2023</v>
      </c>
      <c r="D347" t="s">
        <v>24</v>
      </c>
      <c r="E347" t="s">
        <v>15</v>
      </c>
      <c r="F347" t="s">
        <v>29</v>
      </c>
      <c r="G347">
        <v>2152.6799999999998</v>
      </c>
      <c r="H347">
        <v>2475.9299999999998</v>
      </c>
      <c r="I347">
        <v>29</v>
      </c>
      <c r="J347">
        <f t="shared" si="22"/>
        <v>71801.97</v>
      </c>
      <c r="K347">
        <f t="shared" si="23"/>
        <v>9374.25</v>
      </c>
      <c r="L347" t="s">
        <v>17</v>
      </c>
      <c r="M347" t="s">
        <v>27</v>
      </c>
      <c r="N347" t="s">
        <v>19</v>
      </c>
    </row>
    <row r="348" spans="1:14" x14ac:dyDescent="0.3">
      <c r="A348" s="1">
        <v>45054</v>
      </c>
      <c r="B348" s="1" t="str">
        <f t="shared" si="20"/>
        <v>May</v>
      </c>
      <c r="C348" s="1" t="str">
        <f t="shared" si="21"/>
        <v>2023</v>
      </c>
      <c r="D348" t="s">
        <v>33</v>
      </c>
      <c r="E348" t="s">
        <v>21</v>
      </c>
      <c r="F348" t="s">
        <v>29</v>
      </c>
      <c r="G348">
        <v>2985.63</v>
      </c>
      <c r="H348">
        <v>3452.14</v>
      </c>
      <c r="I348">
        <v>20</v>
      </c>
      <c r="J348">
        <f t="shared" si="22"/>
        <v>69042.8</v>
      </c>
      <c r="K348">
        <f t="shared" si="23"/>
        <v>9330.1999999999953</v>
      </c>
      <c r="L348" t="s">
        <v>30</v>
      </c>
      <c r="M348" t="s">
        <v>31</v>
      </c>
      <c r="N348" t="s">
        <v>22</v>
      </c>
    </row>
    <row r="349" spans="1:14" x14ac:dyDescent="0.3">
      <c r="A349" s="1">
        <v>45054</v>
      </c>
      <c r="B349" s="1" t="str">
        <f t="shared" si="20"/>
        <v>May</v>
      </c>
      <c r="C349" s="1" t="str">
        <f t="shared" si="21"/>
        <v>2023</v>
      </c>
      <c r="D349" t="s">
        <v>33</v>
      </c>
      <c r="E349" t="s">
        <v>15</v>
      </c>
      <c r="F349" t="s">
        <v>26</v>
      </c>
      <c r="G349">
        <v>2171.79</v>
      </c>
      <c r="H349">
        <v>2307.64</v>
      </c>
      <c r="I349">
        <v>32</v>
      </c>
      <c r="J349">
        <f t="shared" si="22"/>
        <v>73844.479999999996</v>
      </c>
      <c r="K349">
        <f t="shared" si="23"/>
        <v>4347.1999999999971</v>
      </c>
      <c r="L349" t="s">
        <v>17</v>
      </c>
      <c r="M349" t="s">
        <v>27</v>
      </c>
      <c r="N349" t="s">
        <v>19</v>
      </c>
    </row>
    <row r="350" spans="1:14" x14ac:dyDescent="0.3">
      <c r="A350" s="1">
        <v>45054</v>
      </c>
      <c r="B350" s="1" t="str">
        <f t="shared" si="20"/>
        <v>May</v>
      </c>
      <c r="C350" s="1" t="str">
        <f t="shared" si="21"/>
        <v>2023</v>
      </c>
      <c r="D350" t="s">
        <v>14</v>
      </c>
      <c r="E350" t="s">
        <v>34</v>
      </c>
      <c r="F350" t="s">
        <v>16</v>
      </c>
      <c r="G350">
        <v>727.38</v>
      </c>
      <c r="H350">
        <v>764.54</v>
      </c>
      <c r="I350">
        <v>17</v>
      </c>
      <c r="J350">
        <f t="shared" si="22"/>
        <v>12997.18</v>
      </c>
      <c r="K350">
        <f t="shared" si="23"/>
        <v>631.71999999999946</v>
      </c>
      <c r="L350" t="s">
        <v>17</v>
      </c>
      <c r="M350" t="s">
        <v>31</v>
      </c>
      <c r="N350" t="s">
        <v>22</v>
      </c>
    </row>
    <row r="351" spans="1:14" x14ac:dyDescent="0.3">
      <c r="A351" s="1">
        <v>45055</v>
      </c>
      <c r="B351" s="1" t="str">
        <f t="shared" si="20"/>
        <v>May</v>
      </c>
      <c r="C351" s="1" t="str">
        <f t="shared" si="21"/>
        <v>2023</v>
      </c>
      <c r="D351" t="s">
        <v>24</v>
      </c>
      <c r="E351" t="s">
        <v>21</v>
      </c>
      <c r="F351" t="s">
        <v>26</v>
      </c>
      <c r="G351">
        <v>1311.01</v>
      </c>
      <c r="H351">
        <v>1538.79</v>
      </c>
      <c r="I351">
        <v>13</v>
      </c>
      <c r="J351">
        <f t="shared" si="22"/>
        <v>20004.27</v>
      </c>
      <c r="K351">
        <f t="shared" si="23"/>
        <v>2961.1399999999994</v>
      </c>
      <c r="L351" t="s">
        <v>17</v>
      </c>
      <c r="M351" t="s">
        <v>27</v>
      </c>
      <c r="N351" t="s">
        <v>22</v>
      </c>
    </row>
    <row r="352" spans="1:14" x14ac:dyDescent="0.3">
      <c r="A352" s="1">
        <v>45056</v>
      </c>
      <c r="B352" s="1" t="str">
        <f t="shared" si="20"/>
        <v>May</v>
      </c>
      <c r="C352" s="1" t="str">
        <f t="shared" si="21"/>
        <v>2023</v>
      </c>
      <c r="D352" t="s">
        <v>24</v>
      </c>
      <c r="E352" t="s">
        <v>34</v>
      </c>
      <c r="F352" t="s">
        <v>26</v>
      </c>
      <c r="G352">
        <v>4865.33</v>
      </c>
      <c r="H352">
        <v>5316.13</v>
      </c>
      <c r="I352">
        <v>47</v>
      </c>
      <c r="J352">
        <f t="shared" si="22"/>
        <v>249858.11000000002</v>
      </c>
      <c r="K352">
        <f t="shared" si="23"/>
        <v>21187.600000000009</v>
      </c>
      <c r="L352" t="s">
        <v>30</v>
      </c>
      <c r="M352" t="s">
        <v>27</v>
      </c>
      <c r="N352" t="s">
        <v>19</v>
      </c>
    </row>
    <row r="353" spans="1:14" x14ac:dyDescent="0.3">
      <c r="A353" s="1">
        <v>45056</v>
      </c>
      <c r="B353" s="1" t="str">
        <f t="shared" si="20"/>
        <v>May</v>
      </c>
      <c r="C353" s="1" t="str">
        <f t="shared" si="21"/>
        <v>2023</v>
      </c>
      <c r="D353" t="s">
        <v>14</v>
      </c>
      <c r="E353" t="s">
        <v>25</v>
      </c>
      <c r="F353" t="s">
        <v>29</v>
      </c>
      <c r="G353">
        <v>4696.6400000000003</v>
      </c>
      <c r="H353">
        <v>4713.68</v>
      </c>
      <c r="I353">
        <v>43</v>
      </c>
      <c r="J353">
        <f t="shared" si="22"/>
        <v>202688.24000000002</v>
      </c>
      <c r="K353">
        <f t="shared" si="23"/>
        <v>732.71999999999844</v>
      </c>
      <c r="L353" t="s">
        <v>17</v>
      </c>
      <c r="M353" t="s">
        <v>27</v>
      </c>
      <c r="N353" t="s">
        <v>19</v>
      </c>
    </row>
    <row r="354" spans="1:14" x14ac:dyDescent="0.3">
      <c r="A354" s="1">
        <v>45056</v>
      </c>
      <c r="B354" s="1" t="str">
        <f t="shared" si="20"/>
        <v>May</v>
      </c>
      <c r="C354" s="1" t="str">
        <f t="shared" si="21"/>
        <v>2023</v>
      </c>
      <c r="D354" t="s">
        <v>38</v>
      </c>
      <c r="E354" t="s">
        <v>34</v>
      </c>
      <c r="F354" t="s">
        <v>29</v>
      </c>
      <c r="G354">
        <v>1922.21</v>
      </c>
      <c r="H354">
        <v>2180.83</v>
      </c>
      <c r="I354">
        <v>19</v>
      </c>
      <c r="J354">
        <f t="shared" si="22"/>
        <v>41435.769999999997</v>
      </c>
      <c r="K354">
        <f t="shared" si="23"/>
        <v>4913.7799999999979</v>
      </c>
      <c r="L354" t="s">
        <v>17</v>
      </c>
      <c r="M354" t="s">
        <v>31</v>
      </c>
      <c r="N354" t="s">
        <v>22</v>
      </c>
    </row>
    <row r="355" spans="1:14" x14ac:dyDescent="0.3">
      <c r="A355" s="1">
        <v>45056</v>
      </c>
      <c r="B355" s="1" t="str">
        <f t="shared" si="20"/>
        <v>May</v>
      </c>
      <c r="C355" s="1" t="str">
        <f t="shared" si="21"/>
        <v>2023</v>
      </c>
      <c r="D355" t="s">
        <v>24</v>
      </c>
      <c r="E355" t="s">
        <v>34</v>
      </c>
      <c r="F355" t="s">
        <v>35</v>
      </c>
      <c r="G355">
        <v>4291.33</v>
      </c>
      <c r="H355">
        <v>4658.6400000000003</v>
      </c>
      <c r="I355">
        <v>47</v>
      </c>
      <c r="J355">
        <f t="shared" si="22"/>
        <v>218956.08000000002</v>
      </c>
      <c r="K355">
        <f t="shared" si="23"/>
        <v>17263.570000000018</v>
      </c>
      <c r="L355" t="s">
        <v>30</v>
      </c>
      <c r="M355" t="s">
        <v>31</v>
      </c>
      <c r="N355" t="s">
        <v>22</v>
      </c>
    </row>
    <row r="356" spans="1:14" x14ac:dyDescent="0.3">
      <c r="A356" s="1">
        <v>45057</v>
      </c>
      <c r="B356" s="1" t="str">
        <f t="shared" si="20"/>
        <v>May</v>
      </c>
      <c r="C356" s="1" t="str">
        <f t="shared" si="21"/>
        <v>2023</v>
      </c>
      <c r="D356" t="s">
        <v>38</v>
      </c>
      <c r="E356" t="s">
        <v>34</v>
      </c>
      <c r="F356" t="s">
        <v>29</v>
      </c>
      <c r="G356">
        <v>442.11</v>
      </c>
      <c r="H356">
        <v>803.87</v>
      </c>
      <c r="I356">
        <v>8</v>
      </c>
      <c r="J356">
        <f t="shared" si="22"/>
        <v>6430.96</v>
      </c>
      <c r="K356">
        <f t="shared" si="23"/>
        <v>2894.08</v>
      </c>
      <c r="L356" t="s">
        <v>30</v>
      </c>
      <c r="M356" t="s">
        <v>18</v>
      </c>
      <c r="N356" t="s">
        <v>22</v>
      </c>
    </row>
    <row r="357" spans="1:14" x14ac:dyDescent="0.3">
      <c r="A357" s="1">
        <v>45057</v>
      </c>
      <c r="B357" s="1" t="str">
        <f t="shared" si="20"/>
        <v>May</v>
      </c>
      <c r="C357" s="1" t="str">
        <f t="shared" si="21"/>
        <v>2023</v>
      </c>
      <c r="D357" t="s">
        <v>33</v>
      </c>
      <c r="E357" t="s">
        <v>15</v>
      </c>
      <c r="F357" t="s">
        <v>35</v>
      </c>
      <c r="G357">
        <v>3418.78</v>
      </c>
      <c r="H357">
        <v>3824.1</v>
      </c>
      <c r="I357">
        <v>26</v>
      </c>
      <c r="J357">
        <f t="shared" si="22"/>
        <v>99426.599999999991</v>
      </c>
      <c r="K357">
        <f t="shared" si="23"/>
        <v>10538.319999999992</v>
      </c>
      <c r="L357" t="s">
        <v>30</v>
      </c>
      <c r="M357" t="s">
        <v>31</v>
      </c>
      <c r="N357" t="s">
        <v>19</v>
      </c>
    </row>
    <row r="358" spans="1:14" x14ac:dyDescent="0.3">
      <c r="A358" s="1">
        <v>45057</v>
      </c>
      <c r="B358" s="1" t="str">
        <f t="shared" si="20"/>
        <v>May</v>
      </c>
      <c r="C358" s="1" t="str">
        <f t="shared" si="21"/>
        <v>2023</v>
      </c>
      <c r="D358" t="s">
        <v>14</v>
      </c>
      <c r="E358" t="s">
        <v>15</v>
      </c>
      <c r="F358" t="s">
        <v>26</v>
      </c>
      <c r="G358">
        <v>4418.95</v>
      </c>
      <c r="H358">
        <v>4647.87</v>
      </c>
      <c r="I358">
        <v>36</v>
      </c>
      <c r="J358">
        <f t="shared" si="22"/>
        <v>167323.32</v>
      </c>
      <c r="K358">
        <f t="shared" si="23"/>
        <v>8241.1200000000026</v>
      </c>
      <c r="L358" t="s">
        <v>30</v>
      </c>
      <c r="M358" t="s">
        <v>27</v>
      </c>
      <c r="N358" t="s">
        <v>19</v>
      </c>
    </row>
    <row r="359" spans="1:14" x14ac:dyDescent="0.3">
      <c r="A359" s="1">
        <v>45057</v>
      </c>
      <c r="B359" s="1" t="str">
        <f t="shared" si="20"/>
        <v>May</v>
      </c>
      <c r="C359" s="1" t="str">
        <f t="shared" si="21"/>
        <v>2023</v>
      </c>
      <c r="D359" t="s">
        <v>42</v>
      </c>
      <c r="E359" t="s">
        <v>25</v>
      </c>
      <c r="F359" t="s">
        <v>26</v>
      </c>
      <c r="G359">
        <v>3441.61</v>
      </c>
      <c r="H359">
        <v>3693.45</v>
      </c>
      <c r="I359">
        <v>48</v>
      </c>
      <c r="J359">
        <f t="shared" si="22"/>
        <v>177285.59999999998</v>
      </c>
      <c r="K359">
        <f t="shared" si="23"/>
        <v>12088.319999999985</v>
      </c>
      <c r="L359" t="s">
        <v>17</v>
      </c>
      <c r="M359" t="s">
        <v>27</v>
      </c>
      <c r="N359" t="s">
        <v>19</v>
      </c>
    </row>
    <row r="360" spans="1:14" x14ac:dyDescent="0.3">
      <c r="A360" s="1">
        <v>45058</v>
      </c>
      <c r="B360" s="1" t="str">
        <f t="shared" si="20"/>
        <v>May</v>
      </c>
      <c r="C360" s="1" t="str">
        <f t="shared" si="21"/>
        <v>2023</v>
      </c>
      <c r="D360" t="s">
        <v>14</v>
      </c>
      <c r="E360" t="s">
        <v>15</v>
      </c>
      <c r="F360" t="s">
        <v>16</v>
      </c>
      <c r="G360">
        <v>2915.88</v>
      </c>
      <c r="H360">
        <v>3397.36</v>
      </c>
      <c r="I360">
        <v>16</v>
      </c>
      <c r="J360">
        <f t="shared" si="22"/>
        <v>54357.760000000002</v>
      </c>
      <c r="K360">
        <f t="shared" si="23"/>
        <v>7703.68</v>
      </c>
      <c r="L360" t="s">
        <v>30</v>
      </c>
      <c r="M360" t="s">
        <v>27</v>
      </c>
      <c r="N360" t="s">
        <v>22</v>
      </c>
    </row>
    <row r="361" spans="1:14" x14ac:dyDescent="0.3">
      <c r="A361" s="1">
        <v>45058</v>
      </c>
      <c r="B361" s="1" t="str">
        <f t="shared" si="20"/>
        <v>May</v>
      </c>
      <c r="C361" s="1" t="str">
        <f t="shared" si="21"/>
        <v>2023</v>
      </c>
      <c r="D361" t="s">
        <v>14</v>
      </c>
      <c r="E361" t="s">
        <v>25</v>
      </c>
      <c r="F361" t="s">
        <v>29</v>
      </c>
      <c r="G361">
        <v>2607.31</v>
      </c>
      <c r="H361">
        <v>2774.86</v>
      </c>
      <c r="I361">
        <v>20</v>
      </c>
      <c r="J361">
        <f t="shared" si="22"/>
        <v>55497.200000000004</v>
      </c>
      <c r="K361">
        <f t="shared" si="23"/>
        <v>3351.0000000000036</v>
      </c>
      <c r="L361" t="s">
        <v>30</v>
      </c>
      <c r="M361" t="s">
        <v>31</v>
      </c>
      <c r="N361" t="s">
        <v>22</v>
      </c>
    </row>
    <row r="362" spans="1:14" x14ac:dyDescent="0.3">
      <c r="A362" s="1">
        <v>45059</v>
      </c>
      <c r="B362" s="1" t="str">
        <f t="shared" si="20"/>
        <v>May</v>
      </c>
      <c r="C362" s="1" t="str">
        <f t="shared" si="21"/>
        <v>2023</v>
      </c>
      <c r="D362" t="s">
        <v>38</v>
      </c>
      <c r="E362" t="s">
        <v>21</v>
      </c>
      <c r="F362" t="s">
        <v>16</v>
      </c>
      <c r="G362">
        <v>3536.46</v>
      </c>
      <c r="H362">
        <v>3945.82</v>
      </c>
      <c r="I362">
        <v>40</v>
      </c>
      <c r="J362">
        <f t="shared" si="22"/>
        <v>157832.80000000002</v>
      </c>
      <c r="K362">
        <f t="shared" si="23"/>
        <v>16374.400000000005</v>
      </c>
      <c r="L362" t="s">
        <v>30</v>
      </c>
      <c r="M362" t="s">
        <v>27</v>
      </c>
      <c r="N362" t="s">
        <v>19</v>
      </c>
    </row>
    <row r="363" spans="1:14" x14ac:dyDescent="0.3">
      <c r="A363" s="1">
        <v>45059</v>
      </c>
      <c r="B363" s="1" t="str">
        <f t="shared" si="20"/>
        <v>May</v>
      </c>
      <c r="C363" s="1" t="str">
        <f t="shared" si="21"/>
        <v>2023</v>
      </c>
      <c r="D363" t="s">
        <v>33</v>
      </c>
      <c r="E363" t="s">
        <v>21</v>
      </c>
      <c r="F363" t="s">
        <v>35</v>
      </c>
      <c r="G363">
        <v>3161.4</v>
      </c>
      <c r="H363">
        <v>3339.66</v>
      </c>
      <c r="I363">
        <v>31</v>
      </c>
      <c r="J363">
        <f t="shared" si="22"/>
        <v>103529.45999999999</v>
      </c>
      <c r="K363">
        <f t="shared" si="23"/>
        <v>5526.0599999999922</v>
      </c>
      <c r="L363" t="s">
        <v>17</v>
      </c>
      <c r="M363" t="s">
        <v>27</v>
      </c>
      <c r="N363" t="s">
        <v>19</v>
      </c>
    </row>
    <row r="364" spans="1:14" x14ac:dyDescent="0.3">
      <c r="A364" s="1">
        <v>45059</v>
      </c>
      <c r="B364" s="1" t="str">
        <f t="shared" si="20"/>
        <v>May</v>
      </c>
      <c r="C364" s="1" t="str">
        <f t="shared" si="21"/>
        <v>2023</v>
      </c>
      <c r="D364" t="s">
        <v>14</v>
      </c>
      <c r="E364" t="s">
        <v>34</v>
      </c>
      <c r="F364" t="s">
        <v>29</v>
      </c>
      <c r="G364">
        <v>4337.6099999999997</v>
      </c>
      <c r="H364">
        <v>4386.82</v>
      </c>
      <c r="I364">
        <v>36</v>
      </c>
      <c r="J364">
        <f t="shared" si="22"/>
        <v>157925.51999999999</v>
      </c>
      <c r="K364">
        <f t="shared" si="23"/>
        <v>1771.5600000000013</v>
      </c>
      <c r="L364" t="s">
        <v>17</v>
      </c>
      <c r="M364" t="s">
        <v>31</v>
      </c>
      <c r="N364" t="s">
        <v>19</v>
      </c>
    </row>
    <row r="365" spans="1:14" x14ac:dyDescent="0.3">
      <c r="A365" s="1">
        <v>45060</v>
      </c>
      <c r="B365" s="1" t="str">
        <f t="shared" si="20"/>
        <v>May</v>
      </c>
      <c r="C365" s="1" t="str">
        <f t="shared" si="21"/>
        <v>2023</v>
      </c>
      <c r="D365" t="s">
        <v>38</v>
      </c>
      <c r="E365" t="s">
        <v>25</v>
      </c>
      <c r="F365" t="s">
        <v>35</v>
      </c>
      <c r="G365">
        <v>2745.75</v>
      </c>
      <c r="H365">
        <v>3244.76</v>
      </c>
      <c r="I365">
        <v>35</v>
      </c>
      <c r="J365">
        <f t="shared" si="22"/>
        <v>113566.6</v>
      </c>
      <c r="K365">
        <f t="shared" si="23"/>
        <v>17465.350000000006</v>
      </c>
      <c r="L365" t="s">
        <v>30</v>
      </c>
      <c r="M365" t="s">
        <v>27</v>
      </c>
      <c r="N365" t="s">
        <v>19</v>
      </c>
    </row>
    <row r="366" spans="1:14" x14ac:dyDescent="0.3">
      <c r="A366" s="1">
        <v>45060</v>
      </c>
      <c r="B366" s="1" t="str">
        <f t="shared" si="20"/>
        <v>May</v>
      </c>
      <c r="C366" s="1" t="str">
        <f t="shared" si="21"/>
        <v>2023</v>
      </c>
      <c r="D366" t="s">
        <v>24</v>
      </c>
      <c r="E366" t="s">
        <v>21</v>
      </c>
      <c r="F366" t="s">
        <v>16</v>
      </c>
      <c r="G366">
        <v>2799.71</v>
      </c>
      <c r="H366">
        <v>3231.08</v>
      </c>
      <c r="I366">
        <v>40</v>
      </c>
      <c r="J366">
        <f t="shared" si="22"/>
        <v>129243.2</v>
      </c>
      <c r="K366">
        <f t="shared" si="23"/>
        <v>17254.799999999996</v>
      </c>
      <c r="L366" t="s">
        <v>17</v>
      </c>
      <c r="M366" t="s">
        <v>31</v>
      </c>
      <c r="N366" t="s">
        <v>22</v>
      </c>
    </row>
    <row r="367" spans="1:14" x14ac:dyDescent="0.3">
      <c r="A367" s="1">
        <v>45060</v>
      </c>
      <c r="B367" s="1" t="str">
        <f t="shared" si="20"/>
        <v>May</v>
      </c>
      <c r="C367" s="1" t="str">
        <f t="shared" si="21"/>
        <v>2023</v>
      </c>
      <c r="D367" t="s">
        <v>38</v>
      </c>
      <c r="E367" t="s">
        <v>25</v>
      </c>
      <c r="F367" t="s">
        <v>35</v>
      </c>
      <c r="G367">
        <v>4573.6899999999996</v>
      </c>
      <c r="H367">
        <v>4820.2999999999902</v>
      </c>
      <c r="I367">
        <v>22</v>
      </c>
      <c r="J367">
        <f t="shared" si="22"/>
        <v>106046.59999999979</v>
      </c>
      <c r="K367">
        <f t="shared" si="23"/>
        <v>5425.4199999997927</v>
      </c>
      <c r="L367" t="s">
        <v>30</v>
      </c>
      <c r="M367" t="s">
        <v>18</v>
      </c>
      <c r="N367" t="s">
        <v>19</v>
      </c>
    </row>
    <row r="368" spans="1:14" x14ac:dyDescent="0.3">
      <c r="A368" s="1">
        <v>45060</v>
      </c>
      <c r="B368" s="1" t="str">
        <f t="shared" si="20"/>
        <v>May</v>
      </c>
      <c r="C368" s="1" t="str">
        <f t="shared" si="21"/>
        <v>2023</v>
      </c>
      <c r="D368" t="s">
        <v>14</v>
      </c>
      <c r="E368" t="s">
        <v>25</v>
      </c>
      <c r="F368" t="s">
        <v>35</v>
      </c>
      <c r="G368">
        <v>4271.99</v>
      </c>
      <c r="H368">
        <v>4417.79</v>
      </c>
      <c r="I368">
        <v>8</v>
      </c>
      <c r="J368">
        <f t="shared" si="22"/>
        <v>35342.32</v>
      </c>
      <c r="K368">
        <f t="shared" si="23"/>
        <v>1166.4000000000015</v>
      </c>
      <c r="L368" t="s">
        <v>17</v>
      </c>
      <c r="M368" t="s">
        <v>18</v>
      </c>
      <c r="N368" t="s">
        <v>19</v>
      </c>
    </row>
    <row r="369" spans="1:14" x14ac:dyDescent="0.3">
      <c r="A369" s="1">
        <v>45060</v>
      </c>
      <c r="B369" s="1" t="str">
        <f t="shared" si="20"/>
        <v>May</v>
      </c>
      <c r="C369" s="1" t="str">
        <f t="shared" si="21"/>
        <v>2023</v>
      </c>
      <c r="D369" t="s">
        <v>33</v>
      </c>
      <c r="E369" t="s">
        <v>21</v>
      </c>
      <c r="F369" t="s">
        <v>35</v>
      </c>
      <c r="G369">
        <v>3988.52</v>
      </c>
      <c r="H369">
        <v>4240.2299999999996</v>
      </c>
      <c r="I369">
        <v>10</v>
      </c>
      <c r="J369">
        <f t="shared" si="22"/>
        <v>42402.299999999996</v>
      </c>
      <c r="K369">
        <f t="shared" si="23"/>
        <v>2517.0999999999958</v>
      </c>
      <c r="L369" t="s">
        <v>30</v>
      </c>
      <c r="M369" t="s">
        <v>31</v>
      </c>
      <c r="N369" t="s">
        <v>19</v>
      </c>
    </row>
    <row r="370" spans="1:14" x14ac:dyDescent="0.3">
      <c r="A370" s="1">
        <v>45062</v>
      </c>
      <c r="B370" s="1" t="str">
        <f t="shared" si="20"/>
        <v>May</v>
      </c>
      <c r="C370" s="1" t="str">
        <f t="shared" si="21"/>
        <v>2023</v>
      </c>
      <c r="D370" t="s">
        <v>33</v>
      </c>
      <c r="E370" t="s">
        <v>15</v>
      </c>
      <c r="F370" t="s">
        <v>16</v>
      </c>
      <c r="G370">
        <v>159.32</v>
      </c>
      <c r="H370">
        <v>303.36</v>
      </c>
      <c r="I370">
        <v>46</v>
      </c>
      <c r="J370">
        <f t="shared" si="22"/>
        <v>13954.560000000001</v>
      </c>
      <c r="K370">
        <f t="shared" si="23"/>
        <v>6625.8400000000011</v>
      </c>
      <c r="L370" t="s">
        <v>30</v>
      </c>
      <c r="M370" t="s">
        <v>18</v>
      </c>
      <c r="N370" t="s">
        <v>22</v>
      </c>
    </row>
    <row r="371" spans="1:14" x14ac:dyDescent="0.3">
      <c r="A371" s="1">
        <v>45063</v>
      </c>
      <c r="B371" s="1" t="str">
        <f t="shared" si="20"/>
        <v>May</v>
      </c>
      <c r="C371" s="1" t="str">
        <f t="shared" si="21"/>
        <v>2023</v>
      </c>
      <c r="D371" t="s">
        <v>42</v>
      </c>
      <c r="E371" t="s">
        <v>15</v>
      </c>
      <c r="F371" t="s">
        <v>26</v>
      </c>
      <c r="G371">
        <v>3981.2</v>
      </c>
      <c r="H371">
        <v>4432.3499999999904</v>
      </c>
      <c r="I371">
        <v>36</v>
      </c>
      <c r="J371">
        <f t="shared" si="22"/>
        <v>159564.59999999966</v>
      </c>
      <c r="K371">
        <f t="shared" si="23"/>
        <v>16241.399999999659</v>
      </c>
      <c r="L371" t="s">
        <v>30</v>
      </c>
      <c r="M371" t="s">
        <v>18</v>
      </c>
      <c r="N371" t="s">
        <v>19</v>
      </c>
    </row>
    <row r="372" spans="1:14" x14ac:dyDescent="0.3">
      <c r="A372" s="1">
        <v>45063</v>
      </c>
      <c r="B372" s="1" t="str">
        <f t="shared" si="20"/>
        <v>May</v>
      </c>
      <c r="C372" s="1" t="str">
        <f t="shared" si="21"/>
        <v>2023</v>
      </c>
      <c r="D372" t="s">
        <v>42</v>
      </c>
      <c r="E372" t="s">
        <v>21</v>
      </c>
      <c r="F372" t="s">
        <v>16</v>
      </c>
      <c r="G372">
        <v>3290.89</v>
      </c>
      <c r="H372">
        <v>3317.75</v>
      </c>
      <c r="I372">
        <v>1</v>
      </c>
      <c r="J372">
        <f t="shared" si="22"/>
        <v>3317.75</v>
      </c>
      <c r="K372">
        <f t="shared" si="23"/>
        <v>26.860000000000127</v>
      </c>
      <c r="L372" t="s">
        <v>17</v>
      </c>
      <c r="M372" t="s">
        <v>27</v>
      </c>
      <c r="N372" t="s">
        <v>19</v>
      </c>
    </row>
    <row r="373" spans="1:14" x14ac:dyDescent="0.3">
      <c r="A373" s="1">
        <v>45063</v>
      </c>
      <c r="B373" s="1" t="str">
        <f t="shared" si="20"/>
        <v>May</v>
      </c>
      <c r="C373" s="1" t="str">
        <f t="shared" si="21"/>
        <v>2023</v>
      </c>
      <c r="D373" t="s">
        <v>14</v>
      </c>
      <c r="E373" t="s">
        <v>15</v>
      </c>
      <c r="F373" t="s">
        <v>16</v>
      </c>
      <c r="G373">
        <v>112.35</v>
      </c>
      <c r="H373">
        <v>586.17999999999995</v>
      </c>
      <c r="I373">
        <v>45</v>
      </c>
      <c r="J373">
        <f t="shared" si="22"/>
        <v>26378.1</v>
      </c>
      <c r="K373">
        <f t="shared" si="23"/>
        <v>21322.35</v>
      </c>
      <c r="L373" t="s">
        <v>17</v>
      </c>
      <c r="M373" t="s">
        <v>31</v>
      </c>
      <c r="N373" t="s">
        <v>22</v>
      </c>
    </row>
    <row r="374" spans="1:14" x14ac:dyDescent="0.3">
      <c r="A374" s="1">
        <v>45063</v>
      </c>
      <c r="B374" s="1" t="str">
        <f t="shared" si="20"/>
        <v>May</v>
      </c>
      <c r="C374" s="1" t="str">
        <f t="shared" si="21"/>
        <v>2023</v>
      </c>
      <c r="D374" t="s">
        <v>14</v>
      </c>
      <c r="E374" t="s">
        <v>25</v>
      </c>
      <c r="F374" t="s">
        <v>29</v>
      </c>
      <c r="G374">
        <v>4252.17</v>
      </c>
      <c r="H374">
        <v>4720.2700000000004</v>
      </c>
      <c r="I374">
        <v>36</v>
      </c>
      <c r="J374">
        <f t="shared" si="22"/>
        <v>169929.72000000003</v>
      </c>
      <c r="K374">
        <f t="shared" si="23"/>
        <v>16851.600000000013</v>
      </c>
      <c r="L374" t="s">
        <v>30</v>
      </c>
      <c r="M374" t="s">
        <v>18</v>
      </c>
      <c r="N374" t="s">
        <v>22</v>
      </c>
    </row>
    <row r="375" spans="1:14" x14ac:dyDescent="0.3">
      <c r="A375" s="1">
        <v>45063</v>
      </c>
      <c r="B375" s="1" t="str">
        <f t="shared" si="20"/>
        <v>May</v>
      </c>
      <c r="C375" s="1" t="str">
        <f t="shared" si="21"/>
        <v>2023</v>
      </c>
      <c r="D375" t="s">
        <v>24</v>
      </c>
      <c r="E375" t="s">
        <v>21</v>
      </c>
      <c r="F375" t="s">
        <v>16</v>
      </c>
      <c r="G375">
        <v>2461.6999999999998</v>
      </c>
      <c r="H375">
        <v>2529.02</v>
      </c>
      <c r="I375">
        <v>47</v>
      </c>
      <c r="J375">
        <f t="shared" si="22"/>
        <v>118863.94</v>
      </c>
      <c r="K375">
        <f t="shared" si="23"/>
        <v>3164.0400000000077</v>
      </c>
      <c r="L375" t="s">
        <v>17</v>
      </c>
      <c r="M375" t="s">
        <v>18</v>
      </c>
      <c r="N375" t="s">
        <v>22</v>
      </c>
    </row>
    <row r="376" spans="1:14" x14ac:dyDescent="0.3">
      <c r="A376" s="1">
        <v>45064</v>
      </c>
      <c r="B376" s="1" t="str">
        <f t="shared" si="20"/>
        <v>May</v>
      </c>
      <c r="C376" s="1" t="str">
        <f t="shared" si="21"/>
        <v>2023</v>
      </c>
      <c r="D376" t="s">
        <v>14</v>
      </c>
      <c r="E376" t="s">
        <v>21</v>
      </c>
      <c r="F376" t="s">
        <v>26</v>
      </c>
      <c r="G376">
        <v>3577.69</v>
      </c>
      <c r="H376">
        <v>3931.25</v>
      </c>
      <c r="I376">
        <v>39</v>
      </c>
      <c r="J376">
        <f t="shared" si="22"/>
        <v>153318.75</v>
      </c>
      <c r="K376">
        <f t="shared" si="23"/>
        <v>13788.839999999998</v>
      </c>
      <c r="L376" t="s">
        <v>17</v>
      </c>
      <c r="M376" t="s">
        <v>18</v>
      </c>
      <c r="N376" t="s">
        <v>22</v>
      </c>
    </row>
    <row r="377" spans="1:14" x14ac:dyDescent="0.3">
      <c r="A377" s="1">
        <v>45065</v>
      </c>
      <c r="B377" s="1" t="str">
        <f t="shared" si="20"/>
        <v>May</v>
      </c>
      <c r="C377" s="1" t="str">
        <f t="shared" si="21"/>
        <v>2023</v>
      </c>
      <c r="D377" t="s">
        <v>33</v>
      </c>
      <c r="E377" t="s">
        <v>34</v>
      </c>
      <c r="F377" t="s">
        <v>29</v>
      </c>
      <c r="G377">
        <v>2158.69</v>
      </c>
      <c r="H377">
        <v>2384.38</v>
      </c>
      <c r="I377">
        <v>35</v>
      </c>
      <c r="J377">
        <f t="shared" si="22"/>
        <v>83453.3</v>
      </c>
      <c r="K377">
        <f t="shared" si="23"/>
        <v>7899.1500000000015</v>
      </c>
      <c r="L377" t="s">
        <v>17</v>
      </c>
      <c r="M377" t="s">
        <v>27</v>
      </c>
      <c r="N377" t="s">
        <v>22</v>
      </c>
    </row>
    <row r="378" spans="1:14" x14ac:dyDescent="0.3">
      <c r="A378" s="1">
        <v>45066</v>
      </c>
      <c r="B378" s="1" t="str">
        <f t="shared" si="20"/>
        <v>May</v>
      </c>
      <c r="C378" s="1" t="str">
        <f t="shared" si="21"/>
        <v>2023</v>
      </c>
      <c r="D378" t="s">
        <v>14</v>
      </c>
      <c r="E378" t="s">
        <v>15</v>
      </c>
      <c r="F378" t="s">
        <v>26</v>
      </c>
      <c r="G378">
        <v>3466.11</v>
      </c>
      <c r="H378">
        <v>3799.67</v>
      </c>
      <c r="I378">
        <v>16</v>
      </c>
      <c r="J378">
        <f t="shared" si="22"/>
        <v>60794.720000000001</v>
      </c>
      <c r="K378">
        <f t="shared" si="23"/>
        <v>5336.9599999999991</v>
      </c>
      <c r="L378" t="s">
        <v>17</v>
      </c>
      <c r="M378" t="s">
        <v>18</v>
      </c>
      <c r="N378" t="s">
        <v>22</v>
      </c>
    </row>
    <row r="379" spans="1:14" x14ac:dyDescent="0.3">
      <c r="A379" s="1">
        <v>45066</v>
      </c>
      <c r="B379" s="1" t="str">
        <f t="shared" si="20"/>
        <v>May</v>
      </c>
      <c r="C379" s="1" t="str">
        <f t="shared" si="21"/>
        <v>2023</v>
      </c>
      <c r="D379" t="s">
        <v>38</v>
      </c>
      <c r="E379" t="s">
        <v>21</v>
      </c>
      <c r="F379" t="s">
        <v>16</v>
      </c>
      <c r="G379">
        <v>2831.23</v>
      </c>
      <c r="H379">
        <v>3206.98</v>
      </c>
      <c r="I379">
        <v>6</v>
      </c>
      <c r="J379">
        <f t="shared" si="22"/>
        <v>19241.88</v>
      </c>
      <c r="K379">
        <f t="shared" si="23"/>
        <v>2254.5</v>
      </c>
      <c r="L379" t="s">
        <v>17</v>
      </c>
      <c r="M379" t="s">
        <v>27</v>
      </c>
      <c r="N379" t="s">
        <v>22</v>
      </c>
    </row>
    <row r="380" spans="1:14" x14ac:dyDescent="0.3">
      <c r="A380" s="1">
        <v>45067</v>
      </c>
      <c r="B380" s="1" t="str">
        <f t="shared" si="20"/>
        <v>May</v>
      </c>
      <c r="C380" s="1" t="str">
        <f t="shared" si="21"/>
        <v>2023</v>
      </c>
      <c r="D380" t="s">
        <v>33</v>
      </c>
      <c r="E380" t="s">
        <v>21</v>
      </c>
      <c r="F380" t="s">
        <v>29</v>
      </c>
      <c r="G380">
        <v>2041.42</v>
      </c>
      <c r="H380">
        <v>2291.17</v>
      </c>
      <c r="I380">
        <v>26</v>
      </c>
      <c r="J380">
        <f t="shared" si="22"/>
        <v>59570.42</v>
      </c>
      <c r="K380">
        <f t="shared" si="23"/>
        <v>6493.5</v>
      </c>
      <c r="L380" t="s">
        <v>17</v>
      </c>
      <c r="M380" t="s">
        <v>18</v>
      </c>
      <c r="N380" t="s">
        <v>19</v>
      </c>
    </row>
    <row r="381" spans="1:14" x14ac:dyDescent="0.3">
      <c r="A381" s="1">
        <v>45067</v>
      </c>
      <c r="B381" s="1" t="str">
        <f t="shared" si="20"/>
        <v>May</v>
      </c>
      <c r="C381" s="1" t="str">
        <f t="shared" si="21"/>
        <v>2023</v>
      </c>
      <c r="D381" t="s">
        <v>24</v>
      </c>
      <c r="E381" t="s">
        <v>34</v>
      </c>
      <c r="F381" t="s">
        <v>16</v>
      </c>
      <c r="G381">
        <v>1712.43</v>
      </c>
      <c r="H381">
        <v>1980.06</v>
      </c>
      <c r="I381">
        <v>37</v>
      </c>
      <c r="J381">
        <f t="shared" si="22"/>
        <v>73262.22</v>
      </c>
      <c r="K381">
        <f t="shared" si="23"/>
        <v>9902.3099999999959</v>
      </c>
      <c r="L381" t="s">
        <v>30</v>
      </c>
      <c r="M381" t="s">
        <v>18</v>
      </c>
      <c r="N381" t="s">
        <v>19</v>
      </c>
    </row>
    <row r="382" spans="1:14" x14ac:dyDescent="0.3">
      <c r="A382" s="1">
        <v>45067</v>
      </c>
      <c r="B382" s="1" t="str">
        <f t="shared" si="20"/>
        <v>May</v>
      </c>
      <c r="C382" s="1" t="str">
        <f t="shared" si="21"/>
        <v>2023</v>
      </c>
      <c r="D382" t="s">
        <v>42</v>
      </c>
      <c r="E382" t="s">
        <v>15</v>
      </c>
      <c r="F382" t="s">
        <v>35</v>
      </c>
      <c r="G382">
        <v>4146.99</v>
      </c>
      <c r="H382">
        <v>4172.3499999999904</v>
      </c>
      <c r="I382">
        <v>37</v>
      </c>
      <c r="J382">
        <f t="shared" si="22"/>
        <v>154376.94999999963</v>
      </c>
      <c r="K382">
        <f t="shared" si="23"/>
        <v>938.31999999965137</v>
      </c>
      <c r="L382" t="s">
        <v>17</v>
      </c>
      <c r="M382" t="s">
        <v>18</v>
      </c>
      <c r="N382" t="s">
        <v>22</v>
      </c>
    </row>
    <row r="383" spans="1:14" x14ac:dyDescent="0.3">
      <c r="A383" s="1">
        <v>45068</v>
      </c>
      <c r="B383" s="1" t="str">
        <f t="shared" si="20"/>
        <v>May</v>
      </c>
      <c r="C383" s="1" t="str">
        <f t="shared" si="21"/>
        <v>2023</v>
      </c>
      <c r="D383" t="s">
        <v>42</v>
      </c>
      <c r="E383" t="s">
        <v>25</v>
      </c>
      <c r="F383" t="s">
        <v>26</v>
      </c>
      <c r="G383">
        <v>4132.79</v>
      </c>
      <c r="H383">
        <v>4624.1000000000004</v>
      </c>
      <c r="I383">
        <v>45</v>
      </c>
      <c r="J383">
        <f t="shared" si="22"/>
        <v>208084.50000000003</v>
      </c>
      <c r="K383">
        <f t="shared" si="23"/>
        <v>22108.950000000019</v>
      </c>
      <c r="L383" t="s">
        <v>30</v>
      </c>
      <c r="M383" t="s">
        <v>31</v>
      </c>
      <c r="N383" t="s">
        <v>22</v>
      </c>
    </row>
    <row r="384" spans="1:14" x14ac:dyDescent="0.3">
      <c r="A384" s="1">
        <v>45068</v>
      </c>
      <c r="B384" s="1" t="str">
        <f t="shared" si="20"/>
        <v>May</v>
      </c>
      <c r="C384" s="1" t="str">
        <f t="shared" si="21"/>
        <v>2023</v>
      </c>
      <c r="D384" t="s">
        <v>14</v>
      </c>
      <c r="E384" t="s">
        <v>34</v>
      </c>
      <c r="F384" t="s">
        <v>29</v>
      </c>
      <c r="G384">
        <v>3316.97</v>
      </c>
      <c r="H384">
        <v>3544.02</v>
      </c>
      <c r="I384">
        <v>19</v>
      </c>
      <c r="J384">
        <f t="shared" si="22"/>
        <v>67336.38</v>
      </c>
      <c r="K384">
        <f t="shared" si="23"/>
        <v>4313.9500000000035</v>
      </c>
      <c r="L384" t="s">
        <v>17</v>
      </c>
      <c r="M384" t="s">
        <v>18</v>
      </c>
      <c r="N384" t="s">
        <v>19</v>
      </c>
    </row>
    <row r="385" spans="1:14" x14ac:dyDescent="0.3">
      <c r="A385" s="1">
        <v>45069</v>
      </c>
      <c r="B385" s="1" t="str">
        <f t="shared" si="20"/>
        <v>May</v>
      </c>
      <c r="C385" s="1" t="str">
        <f t="shared" si="21"/>
        <v>2023</v>
      </c>
      <c r="D385" t="s">
        <v>14</v>
      </c>
      <c r="E385" t="s">
        <v>21</v>
      </c>
      <c r="F385" t="s">
        <v>26</v>
      </c>
      <c r="G385">
        <v>2182.75</v>
      </c>
      <c r="H385">
        <v>2504.0299999999902</v>
      </c>
      <c r="I385">
        <v>19</v>
      </c>
      <c r="J385">
        <f t="shared" si="22"/>
        <v>47576.569999999811</v>
      </c>
      <c r="K385">
        <f t="shared" si="23"/>
        <v>6104.3199999998142</v>
      </c>
      <c r="L385" t="s">
        <v>30</v>
      </c>
      <c r="M385" t="s">
        <v>27</v>
      </c>
      <c r="N385" t="s">
        <v>19</v>
      </c>
    </row>
    <row r="386" spans="1:14" x14ac:dyDescent="0.3">
      <c r="A386" s="1">
        <v>45069</v>
      </c>
      <c r="B386" s="1" t="str">
        <f t="shared" ref="B386:B449" si="24">TEXT(A386,"MMM")</f>
        <v>May</v>
      </c>
      <c r="C386" s="1" t="str">
        <f t="shared" ref="C386:C449" si="25">TEXT(A386,"YYYY")</f>
        <v>2023</v>
      </c>
      <c r="D386" t="s">
        <v>14</v>
      </c>
      <c r="E386" t="s">
        <v>15</v>
      </c>
      <c r="F386" t="s">
        <v>16</v>
      </c>
      <c r="G386">
        <v>2628.38</v>
      </c>
      <c r="H386">
        <v>2644.54</v>
      </c>
      <c r="I386">
        <v>49</v>
      </c>
      <c r="J386">
        <f t="shared" ref="J386:J449" si="26">(I386*H386)</f>
        <v>129582.45999999999</v>
      </c>
      <c r="K386">
        <f t="shared" ref="K386:K449" si="27">(H386-G386)*I386</f>
        <v>791.83999999999287</v>
      </c>
      <c r="L386" t="s">
        <v>17</v>
      </c>
      <c r="M386" t="s">
        <v>18</v>
      </c>
      <c r="N386" t="s">
        <v>19</v>
      </c>
    </row>
    <row r="387" spans="1:14" x14ac:dyDescent="0.3">
      <c r="A387" s="1">
        <v>45069</v>
      </c>
      <c r="B387" s="1" t="str">
        <f t="shared" si="24"/>
        <v>May</v>
      </c>
      <c r="C387" s="1" t="str">
        <f t="shared" si="25"/>
        <v>2023</v>
      </c>
      <c r="D387" t="s">
        <v>14</v>
      </c>
      <c r="E387" t="s">
        <v>21</v>
      </c>
      <c r="F387" t="s">
        <v>26</v>
      </c>
      <c r="G387">
        <v>3559.56</v>
      </c>
      <c r="H387">
        <v>3607.15</v>
      </c>
      <c r="I387">
        <v>29</v>
      </c>
      <c r="J387">
        <f t="shared" si="26"/>
        <v>104607.35</v>
      </c>
      <c r="K387">
        <f t="shared" si="27"/>
        <v>1380.1100000000042</v>
      </c>
      <c r="L387" t="s">
        <v>17</v>
      </c>
      <c r="M387" t="s">
        <v>18</v>
      </c>
      <c r="N387" t="s">
        <v>22</v>
      </c>
    </row>
    <row r="388" spans="1:14" x14ac:dyDescent="0.3">
      <c r="A388" s="1">
        <v>45070</v>
      </c>
      <c r="B388" s="1" t="str">
        <f t="shared" si="24"/>
        <v>May</v>
      </c>
      <c r="C388" s="1" t="str">
        <f t="shared" si="25"/>
        <v>2023</v>
      </c>
      <c r="D388" t="s">
        <v>38</v>
      </c>
      <c r="E388" t="s">
        <v>25</v>
      </c>
      <c r="F388" t="s">
        <v>26</v>
      </c>
      <c r="G388">
        <v>3102.73</v>
      </c>
      <c r="H388">
        <v>3202.68</v>
      </c>
      <c r="I388">
        <v>13</v>
      </c>
      <c r="J388">
        <f t="shared" si="26"/>
        <v>41634.839999999997</v>
      </c>
      <c r="K388">
        <f t="shared" si="27"/>
        <v>1299.3499999999976</v>
      </c>
      <c r="L388" t="s">
        <v>30</v>
      </c>
      <c r="M388" t="s">
        <v>18</v>
      </c>
      <c r="N388" t="s">
        <v>19</v>
      </c>
    </row>
    <row r="389" spans="1:14" x14ac:dyDescent="0.3">
      <c r="A389" s="1">
        <v>45071</v>
      </c>
      <c r="B389" s="1" t="str">
        <f t="shared" si="24"/>
        <v>May</v>
      </c>
      <c r="C389" s="1" t="str">
        <f t="shared" si="25"/>
        <v>2023</v>
      </c>
      <c r="D389" t="s">
        <v>38</v>
      </c>
      <c r="E389" t="s">
        <v>15</v>
      </c>
      <c r="F389" t="s">
        <v>29</v>
      </c>
      <c r="G389">
        <v>1392.15</v>
      </c>
      <c r="H389">
        <v>1448.54</v>
      </c>
      <c r="I389">
        <v>2</v>
      </c>
      <c r="J389">
        <f t="shared" si="26"/>
        <v>2897.08</v>
      </c>
      <c r="K389">
        <f t="shared" si="27"/>
        <v>112.77999999999975</v>
      </c>
      <c r="L389" t="s">
        <v>17</v>
      </c>
      <c r="M389" t="s">
        <v>27</v>
      </c>
      <c r="N389" t="s">
        <v>22</v>
      </c>
    </row>
    <row r="390" spans="1:14" x14ac:dyDescent="0.3">
      <c r="A390" s="1">
        <v>45071</v>
      </c>
      <c r="B390" s="1" t="str">
        <f t="shared" si="24"/>
        <v>May</v>
      </c>
      <c r="C390" s="1" t="str">
        <f t="shared" si="25"/>
        <v>2023</v>
      </c>
      <c r="D390" t="s">
        <v>42</v>
      </c>
      <c r="E390" t="s">
        <v>15</v>
      </c>
      <c r="F390" t="s">
        <v>29</v>
      </c>
      <c r="G390">
        <v>3639.3</v>
      </c>
      <c r="H390">
        <v>3750.63</v>
      </c>
      <c r="I390">
        <v>24</v>
      </c>
      <c r="J390">
        <f t="shared" si="26"/>
        <v>90015.12</v>
      </c>
      <c r="K390">
        <f t="shared" si="27"/>
        <v>2671.9199999999983</v>
      </c>
      <c r="L390" t="s">
        <v>30</v>
      </c>
      <c r="M390" t="s">
        <v>27</v>
      </c>
      <c r="N390" t="s">
        <v>22</v>
      </c>
    </row>
    <row r="391" spans="1:14" x14ac:dyDescent="0.3">
      <c r="A391" s="1">
        <v>45071</v>
      </c>
      <c r="B391" s="1" t="str">
        <f t="shared" si="24"/>
        <v>May</v>
      </c>
      <c r="C391" s="1" t="str">
        <f t="shared" si="25"/>
        <v>2023</v>
      </c>
      <c r="D391" t="s">
        <v>14</v>
      </c>
      <c r="E391" t="s">
        <v>34</v>
      </c>
      <c r="F391" t="s">
        <v>26</v>
      </c>
      <c r="G391">
        <v>668.11</v>
      </c>
      <c r="H391">
        <v>803.49</v>
      </c>
      <c r="I391">
        <v>20</v>
      </c>
      <c r="J391">
        <f t="shared" si="26"/>
        <v>16069.8</v>
      </c>
      <c r="K391">
        <f t="shared" si="27"/>
        <v>2707.6</v>
      </c>
      <c r="L391" t="s">
        <v>30</v>
      </c>
      <c r="M391" t="s">
        <v>27</v>
      </c>
      <c r="N391" t="s">
        <v>19</v>
      </c>
    </row>
    <row r="392" spans="1:14" x14ac:dyDescent="0.3">
      <c r="A392" s="1">
        <v>45072</v>
      </c>
      <c r="B392" s="1" t="str">
        <f t="shared" si="24"/>
        <v>May</v>
      </c>
      <c r="C392" s="1" t="str">
        <f t="shared" si="25"/>
        <v>2023</v>
      </c>
      <c r="D392" t="s">
        <v>14</v>
      </c>
      <c r="E392" t="s">
        <v>34</v>
      </c>
      <c r="F392" t="s">
        <v>35</v>
      </c>
      <c r="G392">
        <v>1406.24</v>
      </c>
      <c r="H392">
        <v>1535.57</v>
      </c>
      <c r="I392">
        <v>1</v>
      </c>
      <c r="J392">
        <f t="shared" si="26"/>
        <v>1535.57</v>
      </c>
      <c r="K392">
        <f t="shared" si="27"/>
        <v>129.32999999999993</v>
      </c>
      <c r="L392" t="s">
        <v>30</v>
      </c>
      <c r="M392" t="s">
        <v>31</v>
      </c>
      <c r="N392" t="s">
        <v>22</v>
      </c>
    </row>
    <row r="393" spans="1:14" x14ac:dyDescent="0.3">
      <c r="A393" s="1">
        <v>45072</v>
      </c>
      <c r="B393" s="1" t="str">
        <f t="shared" si="24"/>
        <v>May</v>
      </c>
      <c r="C393" s="1" t="str">
        <f t="shared" si="25"/>
        <v>2023</v>
      </c>
      <c r="D393" t="s">
        <v>24</v>
      </c>
      <c r="E393" t="s">
        <v>25</v>
      </c>
      <c r="F393" t="s">
        <v>16</v>
      </c>
      <c r="G393">
        <v>1349.3</v>
      </c>
      <c r="H393">
        <v>1576.69</v>
      </c>
      <c r="I393">
        <v>2</v>
      </c>
      <c r="J393">
        <f t="shared" si="26"/>
        <v>3153.38</v>
      </c>
      <c r="K393">
        <f t="shared" si="27"/>
        <v>454.7800000000002</v>
      </c>
      <c r="L393" t="s">
        <v>17</v>
      </c>
      <c r="M393" t="s">
        <v>31</v>
      </c>
      <c r="N393" t="s">
        <v>19</v>
      </c>
    </row>
    <row r="394" spans="1:14" x14ac:dyDescent="0.3">
      <c r="A394" s="1">
        <v>45073</v>
      </c>
      <c r="B394" s="1" t="str">
        <f t="shared" si="24"/>
        <v>May</v>
      </c>
      <c r="C394" s="1" t="str">
        <f t="shared" si="25"/>
        <v>2023</v>
      </c>
      <c r="D394" t="s">
        <v>42</v>
      </c>
      <c r="E394" t="s">
        <v>25</v>
      </c>
      <c r="F394" t="s">
        <v>35</v>
      </c>
      <c r="G394">
        <v>4094.68</v>
      </c>
      <c r="H394">
        <v>4576.5</v>
      </c>
      <c r="I394">
        <v>7</v>
      </c>
      <c r="J394">
        <f t="shared" si="26"/>
        <v>32035.5</v>
      </c>
      <c r="K394">
        <f t="shared" si="27"/>
        <v>3372.7400000000011</v>
      </c>
      <c r="L394" t="s">
        <v>30</v>
      </c>
      <c r="M394" t="s">
        <v>18</v>
      </c>
      <c r="N394" t="s">
        <v>22</v>
      </c>
    </row>
    <row r="395" spans="1:14" x14ac:dyDescent="0.3">
      <c r="A395" s="1">
        <v>45073</v>
      </c>
      <c r="B395" s="1" t="str">
        <f t="shared" si="24"/>
        <v>May</v>
      </c>
      <c r="C395" s="1" t="str">
        <f t="shared" si="25"/>
        <v>2023</v>
      </c>
      <c r="D395" t="s">
        <v>38</v>
      </c>
      <c r="E395" t="s">
        <v>34</v>
      </c>
      <c r="F395" t="s">
        <v>29</v>
      </c>
      <c r="G395">
        <v>310.95999999999998</v>
      </c>
      <c r="H395">
        <v>457.84</v>
      </c>
      <c r="I395">
        <v>39</v>
      </c>
      <c r="J395">
        <f t="shared" si="26"/>
        <v>17855.759999999998</v>
      </c>
      <c r="K395">
        <f t="shared" si="27"/>
        <v>5728.32</v>
      </c>
      <c r="L395" t="s">
        <v>30</v>
      </c>
      <c r="M395" t="s">
        <v>31</v>
      </c>
      <c r="N395" t="s">
        <v>19</v>
      </c>
    </row>
    <row r="396" spans="1:14" x14ac:dyDescent="0.3">
      <c r="A396" s="1">
        <v>45073</v>
      </c>
      <c r="B396" s="1" t="str">
        <f t="shared" si="24"/>
        <v>May</v>
      </c>
      <c r="C396" s="1" t="str">
        <f t="shared" si="25"/>
        <v>2023</v>
      </c>
      <c r="D396" t="s">
        <v>33</v>
      </c>
      <c r="E396" t="s">
        <v>21</v>
      </c>
      <c r="F396" t="s">
        <v>35</v>
      </c>
      <c r="G396">
        <v>1084.73</v>
      </c>
      <c r="H396">
        <v>1420.9</v>
      </c>
      <c r="I396">
        <v>44</v>
      </c>
      <c r="J396">
        <f t="shared" si="26"/>
        <v>62519.600000000006</v>
      </c>
      <c r="K396">
        <f t="shared" si="27"/>
        <v>14791.480000000003</v>
      </c>
      <c r="L396" t="s">
        <v>17</v>
      </c>
      <c r="M396" t="s">
        <v>31</v>
      </c>
      <c r="N396" t="s">
        <v>19</v>
      </c>
    </row>
    <row r="397" spans="1:14" x14ac:dyDescent="0.3">
      <c r="A397" s="1">
        <v>45073</v>
      </c>
      <c r="B397" s="1" t="str">
        <f t="shared" si="24"/>
        <v>May</v>
      </c>
      <c r="C397" s="1" t="str">
        <f t="shared" si="25"/>
        <v>2023</v>
      </c>
      <c r="D397" t="s">
        <v>38</v>
      </c>
      <c r="E397" t="s">
        <v>21</v>
      </c>
      <c r="F397" t="s">
        <v>26</v>
      </c>
      <c r="G397">
        <v>3173.69</v>
      </c>
      <c r="H397">
        <v>3503.11</v>
      </c>
      <c r="I397">
        <v>2</v>
      </c>
      <c r="J397">
        <f t="shared" si="26"/>
        <v>7006.22</v>
      </c>
      <c r="K397">
        <f t="shared" si="27"/>
        <v>658.84000000000015</v>
      </c>
      <c r="L397" t="s">
        <v>30</v>
      </c>
      <c r="M397" t="s">
        <v>27</v>
      </c>
      <c r="N397" t="s">
        <v>22</v>
      </c>
    </row>
    <row r="398" spans="1:14" x14ac:dyDescent="0.3">
      <c r="A398" s="1">
        <v>45074</v>
      </c>
      <c r="B398" s="1" t="str">
        <f t="shared" si="24"/>
        <v>May</v>
      </c>
      <c r="C398" s="1" t="str">
        <f t="shared" si="25"/>
        <v>2023</v>
      </c>
      <c r="D398" t="s">
        <v>14</v>
      </c>
      <c r="E398" t="s">
        <v>15</v>
      </c>
      <c r="F398" t="s">
        <v>26</v>
      </c>
      <c r="G398">
        <v>4562.58</v>
      </c>
      <c r="H398">
        <v>4925.17</v>
      </c>
      <c r="I398">
        <v>11</v>
      </c>
      <c r="J398">
        <f t="shared" si="26"/>
        <v>54176.87</v>
      </c>
      <c r="K398">
        <f t="shared" si="27"/>
        <v>3988.4900000000016</v>
      </c>
      <c r="L398" t="s">
        <v>30</v>
      </c>
      <c r="M398" t="s">
        <v>18</v>
      </c>
      <c r="N398" t="s">
        <v>22</v>
      </c>
    </row>
    <row r="399" spans="1:14" x14ac:dyDescent="0.3">
      <c r="A399" s="1">
        <v>45074</v>
      </c>
      <c r="B399" s="1" t="str">
        <f t="shared" si="24"/>
        <v>May</v>
      </c>
      <c r="C399" s="1" t="str">
        <f t="shared" si="25"/>
        <v>2023</v>
      </c>
      <c r="D399" t="s">
        <v>24</v>
      </c>
      <c r="E399" t="s">
        <v>34</v>
      </c>
      <c r="F399" t="s">
        <v>35</v>
      </c>
      <c r="G399">
        <v>4867.6400000000003</v>
      </c>
      <c r="H399">
        <v>5287.05</v>
      </c>
      <c r="I399">
        <v>35</v>
      </c>
      <c r="J399">
        <f t="shared" si="26"/>
        <v>185046.75</v>
      </c>
      <c r="K399">
        <f t="shared" si="27"/>
        <v>14679.349999999995</v>
      </c>
      <c r="L399" t="s">
        <v>17</v>
      </c>
      <c r="M399" t="s">
        <v>31</v>
      </c>
      <c r="N399" t="s">
        <v>19</v>
      </c>
    </row>
    <row r="400" spans="1:14" x14ac:dyDescent="0.3">
      <c r="A400" s="1">
        <v>45074</v>
      </c>
      <c r="B400" s="1" t="str">
        <f t="shared" si="24"/>
        <v>May</v>
      </c>
      <c r="C400" s="1" t="str">
        <f t="shared" si="25"/>
        <v>2023</v>
      </c>
      <c r="D400" t="s">
        <v>42</v>
      </c>
      <c r="E400" t="s">
        <v>34</v>
      </c>
      <c r="F400" t="s">
        <v>16</v>
      </c>
      <c r="G400">
        <v>3907.86</v>
      </c>
      <c r="H400">
        <v>4205.37</v>
      </c>
      <c r="I400">
        <v>28</v>
      </c>
      <c r="J400">
        <f t="shared" si="26"/>
        <v>117750.36</v>
      </c>
      <c r="K400">
        <f t="shared" si="27"/>
        <v>8330.2799999999934</v>
      </c>
      <c r="L400" t="s">
        <v>30</v>
      </c>
      <c r="M400" t="s">
        <v>31</v>
      </c>
      <c r="N400" t="s">
        <v>19</v>
      </c>
    </row>
    <row r="401" spans="1:14" x14ac:dyDescent="0.3">
      <c r="A401" s="1">
        <v>45074</v>
      </c>
      <c r="B401" s="1" t="str">
        <f t="shared" si="24"/>
        <v>May</v>
      </c>
      <c r="C401" s="1" t="str">
        <f t="shared" si="25"/>
        <v>2023</v>
      </c>
      <c r="D401" t="s">
        <v>42</v>
      </c>
      <c r="E401" t="s">
        <v>15</v>
      </c>
      <c r="F401" t="s">
        <v>16</v>
      </c>
      <c r="G401">
        <v>3763.26</v>
      </c>
      <c r="H401">
        <v>4102.72</v>
      </c>
      <c r="I401">
        <v>6</v>
      </c>
      <c r="J401">
        <f t="shared" si="26"/>
        <v>24616.32</v>
      </c>
      <c r="K401">
        <f t="shared" si="27"/>
        <v>2036.7600000000002</v>
      </c>
      <c r="L401" t="s">
        <v>30</v>
      </c>
      <c r="M401" t="s">
        <v>31</v>
      </c>
      <c r="N401" t="s">
        <v>22</v>
      </c>
    </row>
    <row r="402" spans="1:14" x14ac:dyDescent="0.3">
      <c r="A402" s="1">
        <v>45074</v>
      </c>
      <c r="B402" s="1" t="str">
        <f t="shared" si="24"/>
        <v>May</v>
      </c>
      <c r="C402" s="1" t="str">
        <f t="shared" si="25"/>
        <v>2023</v>
      </c>
      <c r="D402" t="s">
        <v>14</v>
      </c>
      <c r="E402" t="s">
        <v>25</v>
      </c>
      <c r="F402" t="s">
        <v>35</v>
      </c>
      <c r="G402">
        <v>933.16</v>
      </c>
      <c r="H402">
        <v>1004.69999999999</v>
      </c>
      <c r="I402">
        <v>28</v>
      </c>
      <c r="J402">
        <f t="shared" si="26"/>
        <v>28131.599999999722</v>
      </c>
      <c r="K402">
        <f t="shared" si="27"/>
        <v>2003.119999999722</v>
      </c>
      <c r="L402" t="s">
        <v>17</v>
      </c>
      <c r="M402" t="s">
        <v>27</v>
      </c>
      <c r="N402" t="s">
        <v>19</v>
      </c>
    </row>
    <row r="403" spans="1:14" x14ac:dyDescent="0.3">
      <c r="A403" s="1">
        <v>45075</v>
      </c>
      <c r="B403" s="1" t="str">
        <f t="shared" si="24"/>
        <v>May</v>
      </c>
      <c r="C403" s="1" t="str">
        <f t="shared" si="25"/>
        <v>2023</v>
      </c>
      <c r="D403" t="s">
        <v>38</v>
      </c>
      <c r="E403" t="s">
        <v>15</v>
      </c>
      <c r="F403" t="s">
        <v>16</v>
      </c>
      <c r="G403">
        <v>959.73</v>
      </c>
      <c r="H403">
        <v>1111.4100000000001</v>
      </c>
      <c r="I403">
        <v>40</v>
      </c>
      <c r="J403">
        <f t="shared" si="26"/>
        <v>44456.4</v>
      </c>
      <c r="K403">
        <f t="shared" si="27"/>
        <v>6067.2000000000025</v>
      </c>
      <c r="L403" t="s">
        <v>30</v>
      </c>
      <c r="M403" t="s">
        <v>27</v>
      </c>
      <c r="N403" t="s">
        <v>19</v>
      </c>
    </row>
    <row r="404" spans="1:14" x14ac:dyDescent="0.3">
      <c r="A404" s="1">
        <v>45075</v>
      </c>
      <c r="B404" s="1" t="str">
        <f t="shared" si="24"/>
        <v>May</v>
      </c>
      <c r="C404" s="1" t="str">
        <f t="shared" si="25"/>
        <v>2023</v>
      </c>
      <c r="D404" t="s">
        <v>42</v>
      </c>
      <c r="E404" t="s">
        <v>15</v>
      </c>
      <c r="F404" t="s">
        <v>35</v>
      </c>
      <c r="G404">
        <v>300.01</v>
      </c>
      <c r="H404">
        <v>477.67999999999898</v>
      </c>
      <c r="I404">
        <v>30</v>
      </c>
      <c r="J404">
        <f t="shared" si="26"/>
        <v>14330.399999999969</v>
      </c>
      <c r="K404">
        <f t="shared" si="27"/>
        <v>5330.0999999999694</v>
      </c>
      <c r="L404" t="s">
        <v>30</v>
      </c>
      <c r="M404" t="s">
        <v>27</v>
      </c>
      <c r="N404" t="s">
        <v>22</v>
      </c>
    </row>
    <row r="405" spans="1:14" x14ac:dyDescent="0.3">
      <c r="A405" s="1">
        <v>45075</v>
      </c>
      <c r="B405" s="1" t="str">
        <f t="shared" si="24"/>
        <v>May</v>
      </c>
      <c r="C405" s="1" t="str">
        <f t="shared" si="25"/>
        <v>2023</v>
      </c>
      <c r="D405" t="s">
        <v>33</v>
      </c>
      <c r="E405" t="s">
        <v>25</v>
      </c>
      <c r="F405" t="s">
        <v>16</v>
      </c>
      <c r="G405">
        <v>3796.79</v>
      </c>
      <c r="H405">
        <v>3947.5</v>
      </c>
      <c r="I405">
        <v>14</v>
      </c>
      <c r="J405">
        <f t="shared" si="26"/>
        <v>55265</v>
      </c>
      <c r="K405">
        <f t="shared" si="27"/>
        <v>2109.9400000000005</v>
      </c>
      <c r="L405" t="s">
        <v>17</v>
      </c>
      <c r="M405" t="s">
        <v>27</v>
      </c>
      <c r="N405" t="s">
        <v>19</v>
      </c>
    </row>
    <row r="406" spans="1:14" x14ac:dyDescent="0.3">
      <c r="A406" s="1">
        <v>45076</v>
      </c>
      <c r="B406" s="1" t="str">
        <f t="shared" si="24"/>
        <v>May</v>
      </c>
      <c r="C406" s="1" t="str">
        <f t="shared" si="25"/>
        <v>2023</v>
      </c>
      <c r="D406" t="s">
        <v>24</v>
      </c>
      <c r="E406" t="s">
        <v>15</v>
      </c>
      <c r="F406" t="s">
        <v>16</v>
      </c>
      <c r="G406">
        <v>4024.76</v>
      </c>
      <c r="H406">
        <v>4420.1499999999996</v>
      </c>
      <c r="I406">
        <v>17</v>
      </c>
      <c r="J406">
        <f t="shared" si="26"/>
        <v>75142.549999999988</v>
      </c>
      <c r="K406">
        <f t="shared" si="27"/>
        <v>6721.6299999999901</v>
      </c>
      <c r="L406" t="s">
        <v>17</v>
      </c>
      <c r="M406" t="s">
        <v>18</v>
      </c>
      <c r="N406" t="s">
        <v>19</v>
      </c>
    </row>
    <row r="407" spans="1:14" x14ac:dyDescent="0.3">
      <c r="A407" s="1">
        <v>45076</v>
      </c>
      <c r="B407" s="1" t="str">
        <f t="shared" si="24"/>
        <v>May</v>
      </c>
      <c r="C407" s="1" t="str">
        <f t="shared" si="25"/>
        <v>2023</v>
      </c>
      <c r="D407" t="s">
        <v>38</v>
      </c>
      <c r="E407" t="s">
        <v>15</v>
      </c>
      <c r="F407" t="s">
        <v>16</v>
      </c>
      <c r="G407">
        <v>1393.58</v>
      </c>
      <c r="H407">
        <v>1533.09</v>
      </c>
      <c r="I407">
        <v>44</v>
      </c>
      <c r="J407">
        <f t="shared" si="26"/>
        <v>67455.959999999992</v>
      </c>
      <c r="K407">
        <f t="shared" si="27"/>
        <v>6138.44</v>
      </c>
      <c r="L407" t="s">
        <v>17</v>
      </c>
      <c r="M407" t="s">
        <v>31</v>
      </c>
      <c r="N407" t="s">
        <v>22</v>
      </c>
    </row>
    <row r="408" spans="1:14" x14ac:dyDescent="0.3">
      <c r="A408" s="1">
        <v>45076</v>
      </c>
      <c r="B408" s="1" t="str">
        <f t="shared" si="24"/>
        <v>May</v>
      </c>
      <c r="C408" s="1" t="str">
        <f t="shared" si="25"/>
        <v>2023</v>
      </c>
      <c r="D408" t="s">
        <v>42</v>
      </c>
      <c r="E408" t="s">
        <v>25</v>
      </c>
      <c r="F408" t="s">
        <v>29</v>
      </c>
      <c r="G408">
        <v>1656.82</v>
      </c>
      <c r="H408">
        <v>1750.3799999999901</v>
      </c>
      <c r="I408">
        <v>47</v>
      </c>
      <c r="J408">
        <f t="shared" si="26"/>
        <v>82267.859999999535</v>
      </c>
      <c r="K408">
        <f t="shared" si="27"/>
        <v>4397.3199999995377</v>
      </c>
      <c r="L408" t="s">
        <v>30</v>
      </c>
      <c r="M408" t="s">
        <v>31</v>
      </c>
      <c r="N408" t="s">
        <v>19</v>
      </c>
    </row>
    <row r="409" spans="1:14" x14ac:dyDescent="0.3">
      <c r="A409" s="1">
        <v>45077</v>
      </c>
      <c r="B409" s="1" t="str">
        <f t="shared" si="24"/>
        <v>May</v>
      </c>
      <c r="C409" s="1" t="str">
        <f t="shared" si="25"/>
        <v>2023</v>
      </c>
      <c r="D409" t="s">
        <v>24</v>
      </c>
      <c r="E409" t="s">
        <v>25</v>
      </c>
      <c r="F409" t="s">
        <v>29</v>
      </c>
      <c r="G409">
        <v>816.54</v>
      </c>
      <c r="H409">
        <v>1191.9000000000001</v>
      </c>
      <c r="I409">
        <v>8</v>
      </c>
      <c r="J409">
        <f t="shared" si="26"/>
        <v>9535.2000000000007</v>
      </c>
      <c r="K409">
        <f t="shared" si="27"/>
        <v>3002.880000000001</v>
      </c>
      <c r="L409" t="s">
        <v>30</v>
      </c>
      <c r="M409" t="s">
        <v>18</v>
      </c>
      <c r="N409" t="s">
        <v>22</v>
      </c>
    </row>
    <row r="410" spans="1:14" x14ac:dyDescent="0.3">
      <c r="A410" s="1">
        <v>45078</v>
      </c>
      <c r="B410" s="1" t="str">
        <f t="shared" si="24"/>
        <v>Jun</v>
      </c>
      <c r="C410" s="1" t="str">
        <f t="shared" si="25"/>
        <v>2023</v>
      </c>
      <c r="D410" t="s">
        <v>33</v>
      </c>
      <c r="E410" t="s">
        <v>34</v>
      </c>
      <c r="F410" t="s">
        <v>16</v>
      </c>
      <c r="G410">
        <v>1222.1500000000001</v>
      </c>
      <c r="H410">
        <v>1284.3599999999999</v>
      </c>
      <c r="I410">
        <v>16</v>
      </c>
      <c r="J410">
        <f t="shared" si="26"/>
        <v>20549.759999999998</v>
      </c>
      <c r="K410">
        <f t="shared" si="27"/>
        <v>995.35999999999694</v>
      </c>
      <c r="L410" t="s">
        <v>17</v>
      </c>
      <c r="M410" t="s">
        <v>31</v>
      </c>
      <c r="N410" t="s">
        <v>22</v>
      </c>
    </row>
    <row r="411" spans="1:14" x14ac:dyDescent="0.3">
      <c r="A411" s="1">
        <v>45078</v>
      </c>
      <c r="B411" s="1" t="str">
        <f t="shared" si="24"/>
        <v>Jun</v>
      </c>
      <c r="C411" s="1" t="str">
        <f t="shared" si="25"/>
        <v>2023</v>
      </c>
      <c r="D411" t="s">
        <v>14</v>
      </c>
      <c r="E411" t="s">
        <v>34</v>
      </c>
      <c r="F411" t="s">
        <v>29</v>
      </c>
      <c r="G411">
        <v>3637.25</v>
      </c>
      <c r="H411">
        <v>4096.96</v>
      </c>
      <c r="I411">
        <v>38</v>
      </c>
      <c r="J411">
        <f t="shared" si="26"/>
        <v>155684.48000000001</v>
      </c>
      <c r="K411">
        <f t="shared" si="27"/>
        <v>17468.980000000003</v>
      </c>
      <c r="L411" t="s">
        <v>17</v>
      </c>
      <c r="M411" t="s">
        <v>27</v>
      </c>
      <c r="N411" t="s">
        <v>19</v>
      </c>
    </row>
    <row r="412" spans="1:14" x14ac:dyDescent="0.3">
      <c r="A412" s="1">
        <v>45078</v>
      </c>
      <c r="B412" s="1" t="str">
        <f t="shared" si="24"/>
        <v>Jun</v>
      </c>
      <c r="C412" s="1" t="str">
        <f t="shared" si="25"/>
        <v>2023</v>
      </c>
      <c r="D412" t="s">
        <v>24</v>
      </c>
      <c r="E412" t="s">
        <v>34</v>
      </c>
      <c r="F412" t="s">
        <v>35</v>
      </c>
      <c r="G412">
        <v>2263.65</v>
      </c>
      <c r="H412">
        <v>2558.9499999999998</v>
      </c>
      <c r="I412">
        <v>9</v>
      </c>
      <c r="J412">
        <f t="shared" si="26"/>
        <v>23030.55</v>
      </c>
      <c r="K412">
        <f t="shared" si="27"/>
        <v>2657.6999999999975</v>
      </c>
      <c r="L412" t="s">
        <v>30</v>
      </c>
      <c r="M412" t="s">
        <v>18</v>
      </c>
      <c r="N412" t="s">
        <v>19</v>
      </c>
    </row>
    <row r="413" spans="1:14" x14ac:dyDescent="0.3">
      <c r="A413" s="1">
        <v>45078</v>
      </c>
      <c r="B413" s="1" t="str">
        <f t="shared" si="24"/>
        <v>Jun</v>
      </c>
      <c r="C413" s="1" t="str">
        <f t="shared" si="25"/>
        <v>2023</v>
      </c>
      <c r="D413" t="s">
        <v>14</v>
      </c>
      <c r="E413" t="s">
        <v>25</v>
      </c>
      <c r="F413" t="s">
        <v>16</v>
      </c>
      <c r="G413">
        <v>3756.06</v>
      </c>
      <c r="H413">
        <v>4255.7299999999996</v>
      </c>
      <c r="I413">
        <v>23</v>
      </c>
      <c r="J413">
        <f t="shared" si="26"/>
        <v>97881.79</v>
      </c>
      <c r="K413">
        <f t="shared" si="27"/>
        <v>11492.409999999991</v>
      </c>
      <c r="L413" t="s">
        <v>17</v>
      </c>
      <c r="M413" t="s">
        <v>18</v>
      </c>
      <c r="N413" t="s">
        <v>19</v>
      </c>
    </row>
    <row r="414" spans="1:14" x14ac:dyDescent="0.3">
      <c r="A414" s="1">
        <v>45078</v>
      </c>
      <c r="B414" s="1" t="str">
        <f t="shared" si="24"/>
        <v>Jun</v>
      </c>
      <c r="C414" s="1" t="str">
        <f t="shared" si="25"/>
        <v>2023</v>
      </c>
      <c r="D414" t="s">
        <v>42</v>
      </c>
      <c r="E414" t="s">
        <v>25</v>
      </c>
      <c r="F414" t="s">
        <v>35</v>
      </c>
      <c r="G414">
        <v>2038.4</v>
      </c>
      <c r="H414">
        <v>2073.3200000000002</v>
      </c>
      <c r="I414">
        <v>2</v>
      </c>
      <c r="J414">
        <f t="shared" si="26"/>
        <v>4146.6400000000003</v>
      </c>
      <c r="K414">
        <f t="shared" si="27"/>
        <v>69.840000000000146</v>
      </c>
      <c r="L414" t="s">
        <v>30</v>
      </c>
      <c r="M414" t="s">
        <v>18</v>
      </c>
      <c r="N414" t="s">
        <v>22</v>
      </c>
    </row>
    <row r="415" spans="1:14" x14ac:dyDescent="0.3">
      <c r="A415" s="1">
        <v>45079</v>
      </c>
      <c r="B415" s="1" t="str">
        <f t="shared" si="24"/>
        <v>Jun</v>
      </c>
      <c r="C415" s="1" t="str">
        <f t="shared" si="25"/>
        <v>2023</v>
      </c>
      <c r="D415" t="s">
        <v>42</v>
      </c>
      <c r="E415" t="s">
        <v>21</v>
      </c>
      <c r="F415" t="s">
        <v>16</v>
      </c>
      <c r="G415">
        <v>3604.93</v>
      </c>
      <c r="H415">
        <v>3830.71</v>
      </c>
      <c r="I415">
        <v>2</v>
      </c>
      <c r="J415">
        <f t="shared" si="26"/>
        <v>7661.42</v>
      </c>
      <c r="K415">
        <f t="shared" si="27"/>
        <v>451.5600000000004</v>
      </c>
      <c r="L415" t="s">
        <v>17</v>
      </c>
      <c r="M415" t="s">
        <v>31</v>
      </c>
      <c r="N415" t="s">
        <v>19</v>
      </c>
    </row>
    <row r="416" spans="1:14" x14ac:dyDescent="0.3">
      <c r="A416" s="1">
        <v>45079</v>
      </c>
      <c r="B416" s="1" t="str">
        <f t="shared" si="24"/>
        <v>Jun</v>
      </c>
      <c r="C416" s="1" t="str">
        <f t="shared" si="25"/>
        <v>2023</v>
      </c>
      <c r="D416" t="s">
        <v>14</v>
      </c>
      <c r="E416" t="s">
        <v>25</v>
      </c>
      <c r="F416" t="s">
        <v>35</v>
      </c>
      <c r="G416">
        <v>1878.3</v>
      </c>
      <c r="H416">
        <v>2087.4499999999998</v>
      </c>
      <c r="I416">
        <v>12</v>
      </c>
      <c r="J416">
        <f t="shared" si="26"/>
        <v>25049.399999999998</v>
      </c>
      <c r="K416">
        <f t="shared" si="27"/>
        <v>2509.7999999999984</v>
      </c>
      <c r="L416" t="s">
        <v>30</v>
      </c>
      <c r="M416" t="s">
        <v>27</v>
      </c>
      <c r="N416" t="s">
        <v>22</v>
      </c>
    </row>
    <row r="417" spans="1:14" x14ac:dyDescent="0.3">
      <c r="A417" s="1">
        <v>45079</v>
      </c>
      <c r="B417" s="1" t="str">
        <f t="shared" si="24"/>
        <v>Jun</v>
      </c>
      <c r="C417" s="1" t="str">
        <f t="shared" si="25"/>
        <v>2023</v>
      </c>
      <c r="D417" t="s">
        <v>38</v>
      </c>
      <c r="E417" t="s">
        <v>34</v>
      </c>
      <c r="F417" t="s">
        <v>26</v>
      </c>
      <c r="G417">
        <v>3462.61</v>
      </c>
      <c r="H417">
        <v>3672.89</v>
      </c>
      <c r="I417">
        <v>22</v>
      </c>
      <c r="J417">
        <f t="shared" si="26"/>
        <v>80803.58</v>
      </c>
      <c r="K417">
        <f t="shared" si="27"/>
        <v>4626.1599999999944</v>
      </c>
      <c r="L417" t="s">
        <v>17</v>
      </c>
      <c r="M417" t="s">
        <v>31</v>
      </c>
      <c r="N417" t="s">
        <v>19</v>
      </c>
    </row>
    <row r="418" spans="1:14" x14ac:dyDescent="0.3">
      <c r="A418" s="1">
        <v>45079</v>
      </c>
      <c r="B418" s="1" t="str">
        <f t="shared" si="24"/>
        <v>Jun</v>
      </c>
      <c r="C418" s="1" t="str">
        <f t="shared" si="25"/>
        <v>2023</v>
      </c>
      <c r="D418" t="s">
        <v>14</v>
      </c>
      <c r="E418" t="s">
        <v>21</v>
      </c>
      <c r="F418" t="s">
        <v>16</v>
      </c>
      <c r="G418">
        <v>287.17</v>
      </c>
      <c r="H418">
        <v>657.44</v>
      </c>
      <c r="I418">
        <v>47</v>
      </c>
      <c r="J418">
        <f t="shared" si="26"/>
        <v>30899.680000000004</v>
      </c>
      <c r="K418">
        <f t="shared" si="27"/>
        <v>17402.690000000002</v>
      </c>
      <c r="L418" t="s">
        <v>17</v>
      </c>
      <c r="M418" t="s">
        <v>31</v>
      </c>
      <c r="N418" t="s">
        <v>22</v>
      </c>
    </row>
    <row r="419" spans="1:14" x14ac:dyDescent="0.3">
      <c r="A419" s="1">
        <v>45079</v>
      </c>
      <c r="B419" s="1" t="str">
        <f t="shared" si="24"/>
        <v>Jun</v>
      </c>
      <c r="C419" s="1" t="str">
        <f t="shared" si="25"/>
        <v>2023</v>
      </c>
      <c r="D419" t="s">
        <v>14</v>
      </c>
      <c r="E419" t="s">
        <v>34</v>
      </c>
      <c r="F419" t="s">
        <v>35</v>
      </c>
      <c r="G419">
        <v>1595.35</v>
      </c>
      <c r="H419">
        <v>1625.70999999999</v>
      </c>
      <c r="I419">
        <v>3</v>
      </c>
      <c r="J419">
        <f t="shared" si="26"/>
        <v>4877.1299999999701</v>
      </c>
      <c r="K419">
        <f t="shared" si="27"/>
        <v>91.079999999970369</v>
      </c>
      <c r="L419" t="s">
        <v>30</v>
      </c>
      <c r="M419" t="s">
        <v>18</v>
      </c>
      <c r="N419" t="s">
        <v>19</v>
      </c>
    </row>
    <row r="420" spans="1:14" x14ac:dyDescent="0.3">
      <c r="A420" s="1">
        <v>45080</v>
      </c>
      <c r="B420" s="1" t="str">
        <f t="shared" si="24"/>
        <v>Jun</v>
      </c>
      <c r="C420" s="1" t="str">
        <f t="shared" si="25"/>
        <v>2023</v>
      </c>
      <c r="D420" t="s">
        <v>24</v>
      </c>
      <c r="E420" t="s">
        <v>21</v>
      </c>
      <c r="F420" t="s">
        <v>29</v>
      </c>
      <c r="G420">
        <v>1023.5</v>
      </c>
      <c r="H420">
        <v>1164.4100000000001</v>
      </c>
      <c r="I420">
        <v>46</v>
      </c>
      <c r="J420">
        <f t="shared" si="26"/>
        <v>53562.86</v>
      </c>
      <c r="K420">
        <f t="shared" si="27"/>
        <v>6481.8600000000042</v>
      </c>
      <c r="L420" t="s">
        <v>17</v>
      </c>
      <c r="M420" t="s">
        <v>31</v>
      </c>
      <c r="N420" t="s">
        <v>22</v>
      </c>
    </row>
    <row r="421" spans="1:14" x14ac:dyDescent="0.3">
      <c r="A421" s="1">
        <v>45080</v>
      </c>
      <c r="B421" s="1" t="str">
        <f t="shared" si="24"/>
        <v>Jun</v>
      </c>
      <c r="C421" s="1" t="str">
        <f t="shared" si="25"/>
        <v>2023</v>
      </c>
      <c r="D421" t="s">
        <v>14</v>
      </c>
      <c r="E421" t="s">
        <v>25</v>
      </c>
      <c r="F421" t="s">
        <v>29</v>
      </c>
      <c r="G421">
        <v>3380.14</v>
      </c>
      <c r="H421">
        <v>3609.3399999999901</v>
      </c>
      <c r="I421">
        <v>8</v>
      </c>
      <c r="J421">
        <f t="shared" si="26"/>
        <v>28874.719999999921</v>
      </c>
      <c r="K421">
        <f t="shared" si="27"/>
        <v>1833.5999999999221</v>
      </c>
      <c r="L421" t="s">
        <v>17</v>
      </c>
      <c r="M421" t="s">
        <v>31</v>
      </c>
      <c r="N421" t="s">
        <v>19</v>
      </c>
    </row>
    <row r="422" spans="1:14" x14ac:dyDescent="0.3">
      <c r="A422" s="1">
        <v>45080</v>
      </c>
      <c r="B422" s="1" t="str">
        <f t="shared" si="24"/>
        <v>Jun</v>
      </c>
      <c r="C422" s="1" t="str">
        <f t="shared" si="25"/>
        <v>2023</v>
      </c>
      <c r="D422" t="s">
        <v>24</v>
      </c>
      <c r="E422" t="s">
        <v>21</v>
      </c>
      <c r="F422" t="s">
        <v>29</v>
      </c>
      <c r="G422">
        <v>1434.2</v>
      </c>
      <c r="H422">
        <v>1482.88</v>
      </c>
      <c r="I422">
        <v>42</v>
      </c>
      <c r="J422">
        <f t="shared" si="26"/>
        <v>62280.960000000006</v>
      </c>
      <c r="K422">
        <f t="shared" si="27"/>
        <v>2044.5600000000027</v>
      </c>
      <c r="L422" t="s">
        <v>30</v>
      </c>
      <c r="M422" t="s">
        <v>31</v>
      </c>
      <c r="N422" t="s">
        <v>22</v>
      </c>
    </row>
    <row r="423" spans="1:14" x14ac:dyDescent="0.3">
      <c r="A423" s="1">
        <v>45080</v>
      </c>
      <c r="B423" s="1" t="str">
        <f t="shared" si="24"/>
        <v>Jun</v>
      </c>
      <c r="C423" s="1" t="str">
        <f t="shared" si="25"/>
        <v>2023</v>
      </c>
      <c r="D423" t="s">
        <v>38</v>
      </c>
      <c r="E423" t="s">
        <v>15</v>
      </c>
      <c r="F423" t="s">
        <v>16</v>
      </c>
      <c r="G423">
        <v>2055.4899999999998</v>
      </c>
      <c r="H423">
        <v>2441.46</v>
      </c>
      <c r="I423">
        <v>41</v>
      </c>
      <c r="J423">
        <f t="shared" si="26"/>
        <v>100099.86</v>
      </c>
      <c r="K423">
        <f t="shared" si="27"/>
        <v>15824.770000000011</v>
      </c>
      <c r="L423" t="s">
        <v>30</v>
      </c>
      <c r="M423" t="s">
        <v>31</v>
      </c>
      <c r="N423" t="s">
        <v>19</v>
      </c>
    </row>
    <row r="424" spans="1:14" x14ac:dyDescent="0.3">
      <c r="A424" s="1">
        <v>45080</v>
      </c>
      <c r="B424" s="1" t="str">
        <f t="shared" si="24"/>
        <v>Jun</v>
      </c>
      <c r="C424" s="1" t="str">
        <f t="shared" si="25"/>
        <v>2023</v>
      </c>
      <c r="D424" t="s">
        <v>24</v>
      </c>
      <c r="E424" t="s">
        <v>25</v>
      </c>
      <c r="F424" t="s">
        <v>16</v>
      </c>
      <c r="G424">
        <v>85.35</v>
      </c>
      <c r="H424">
        <v>360.539999999999</v>
      </c>
      <c r="I424">
        <v>47</v>
      </c>
      <c r="J424">
        <f t="shared" si="26"/>
        <v>16945.379999999954</v>
      </c>
      <c r="K424">
        <f t="shared" si="27"/>
        <v>12933.929999999955</v>
      </c>
      <c r="L424" t="s">
        <v>30</v>
      </c>
      <c r="M424" t="s">
        <v>18</v>
      </c>
      <c r="N424" t="s">
        <v>19</v>
      </c>
    </row>
    <row r="425" spans="1:14" x14ac:dyDescent="0.3">
      <c r="A425" s="1">
        <v>45081</v>
      </c>
      <c r="B425" s="1" t="str">
        <f t="shared" si="24"/>
        <v>Jun</v>
      </c>
      <c r="C425" s="1" t="str">
        <f t="shared" si="25"/>
        <v>2023</v>
      </c>
      <c r="D425" t="s">
        <v>38</v>
      </c>
      <c r="E425" t="s">
        <v>15</v>
      </c>
      <c r="F425" t="s">
        <v>35</v>
      </c>
      <c r="G425">
        <v>1296.44</v>
      </c>
      <c r="H425">
        <v>1751.24</v>
      </c>
      <c r="I425">
        <v>22</v>
      </c>
      <c r="J425">
        <f t="shared" si="26"/>
        <v>38527.279999999999</v>
      </c>
      <c r="K425">
        <f t="shared" si="27"/>
        <v>10005.599999999999</v>
      </c>
      <c r="L425" t="s">
        <v>30</v>
      </c>
      <c r="M425" t="s">
        <v>18</v>
      </c>
      <c r="N425" t="s">
        <v>19</v>
      </c>
    </row>
    <row r="426" spans="1:14" x14ac:dyDescent="0.3">
      <c r="A426" s="1">
        <v>45081</v>
      </c>
      <c r="B426" s="1" t="str">
        <f t="shared" si="24"/>
        <v>Jun</v>
      </c>
      <c r="C426" s="1" t="str">
        <f t="shared" si="25"/>
        <v>2023</v>
      </c>
      <c r="D426" t="s">
        <v>14</v>
      </c>
      <c r="E426" t="s">
        <v>25</v>
      </c>
      <c r="F426" t="s">
        <v>16</v>
      </c>
      <c r="G426">
        <v>2251.9499999999998</v>
      </c>
      <c r="H426">
        <v>2626.3199999999902</v>
      </c>
      <c r="I426">
        <v>14</v>
      </c>
      <c r="J426">
        <f t="shared" si="26"/>
        <v>36768.479999999865</v>
      </c>
      <c r="K426">
        <f t="shared" si="27"/>
        <v>5241.1799999998648</v>
      </c>
      <c r="L426" t="s">
        <v>17</v>
      </c>
      <c r="M426" t="s">
        <v>31</v>
      </c>
      <c r="N426" t="s">
        <v>19</v>
      </c>
    </row>
    <row r="427" spans="1:14" x14ac:dyDescent="0.3">
      <c r="A427" s="1">
        <v>45082</v>
      </c>
      <c r="B427" s="1" t="str">
        <f t="shared" si="24"/>
        <v>Jun</v>
      </c>
      <c r="C427" s="1" t="str">
        <f t="shared" si="25"/>
        <v>2023</v>
      </c>
      <c r="D427" t="s">
        <v>33</v>
      </c>
      <c r="E427" t="s">
        <v>34</v>
      </c>
      <c r="F427" t="s">
        <v>29</v>
      </c>
      <c r="G427">
        <v>1719.47</v>
      </c>
      <c r="H427">
        <v>1832.6</v>
      </c>
      <c r="I427">
        <v>15</v>
      </c>
      <c r="J427">
        <f t="shared" si="26"/>
        <v>27489</v>
      </c>
      <c r="K427">
        <f t="shared" si="27"/>
        <v>1696.9499999999982</v>
      </c>
      <c r="L427" t="s">
        <v>17</v>
      </c>
      <c r="M427" t="s">
        <v>31</v>
      </c>
      <c r="N427" t="s">
        <v>19</v>
      </c>
    </row>
    <row r="428" spans="1:14" x14ac:dyDescent="0.3">
      <c r="A428" s="1">
        <v>45083</v>
      </c>
      <c r="B428" s="1" t="str">
        <f t="shared" si="24"/>
        <v>Jun</v>
      </c>
      <c r="C428" s="1" t="str">
        <f t="shared" si="25"/>
        <v>2023</v>
      </c>
      <c r="D428" t="s">
        <v>14</v>
      </c>
      <c r="E428" t="s">
        <v>34</v>
      </c>
      <c r="F428" t="s">
        <v>35</v>
      </c>
      <c r="G428">
        <v>1701.62</v>
      </c>
      <c r="H428">
        <v>2193.2199999999998</v>
      </c>
      <c r="I428">
        <v>21</v>
      </c>
      <c r="J428">
        <f t="shared" si="26"/>
        <v>46057.619999999995</v>
      </c>
      <c r="K428">
        <f t="shared" si="27"/>
        <v>10323.599999999999</v>
      </c>
      <c r="L428" t="s">
        <v>30</v>
      </c>
      <c r="M428" t="s">
        <v>27</v>
      </c>
      <c r="N428" t="s">
        <v>22</v>
      </c>
    </row>
    <row r="429" spans="1:14" x14ac:dyDescent="0.3">
      <c r="A429" s="1">
        <v>45083</v>
      </c>
      <c r="B429" s="1" t="str">
        <f t="shared" si="24"/>
        <v>Jun</v>
      </c>
      <c r="C429" s="1" t="str">
        <f t="shared" si="25"/>
        <v>2023</v>
      </c>
      <c r="D429" t="s">
        <v>42</v>
      </c>
      <c r="E429" t="s">
        <v>34</v>
      </c>
      <c r="F429" t="s">
        <v>26</v>
      </c>
      <c r="G429">
        <v>108.99</v>
      </c>
      <c r="H429">
        <v>351.6</v>
      </c>
      <c r="I429">
        <v>32</v>
      </c>
      <c r="J429">
        <f t="shared" si="26"/>
        <v>11251.2</v>
      </c>
      <c r="K429">
        <f t="shared" si="27"/>
        <v>7763.52</v>
      </c>
      <c r="L429" t="s">
        <v>17</v>
      </c>
      <c r="M429" t="s">
        <v>31</v>
      </c>
      <c r="N429" t="s">
        <v>22</v>
      </c>
    </row>
    <row r="430" spans="1:14" x14ac:dyDescent="0.3">
      <c r="A430" s="1">
        <v>45083</v>
      </c>
      <c r="B430" s="1" t="str">
        <f t="shared" si="24"/>
        <v>Jun</v>
      </c>
      <c r="C430" s="1" t="str">
        <f t="shared" si="25"/>
        <v>2023</v>
      </c>
      <c r="D430" t="s">
        <v>14</v>
      </c>
      <c r="E430" t="s">
        <v>15</v>
      </c>
      <c r="F430" t="s">
        <v>26</v>
      </c>
      <c r="G430">
        <v>3115.06</v>
      </c>
      <c r="H430">
        <v>3565.58</v>
      </c>
      <c r="I430">
        <v>20</v>
      </c>
      <c r="J430">
        <f t="shared" si="26"/>
        <v>71311.600000000006</v>
      </c>
      <c r="K430">
        <f t="shared" si="27"/>
        <v>9010.4</v>
      </c>
      <c r="L430" t="s">
        <v>17</v>
      </c>
      <c r="M430" t="s">
        <v>31</v>
      </c>
      <c r="N430" t="s">
        <v>22</v>
      </c>
    </row>
    <row r="431" spans="1:14" x14ac:dyDescent="0.3">
      <c r="A431" s="1">
        <v>45083</v>
      </c>
      <c r="B431" s="1" t="str">
        <f t="shared" si="24"/>
        <v>Jun</v>
      </c>
      <c r="C431" s="1" t="str">
        <f t="shared" si="25"/>
        <v>2023</v>
      </c>
      <c r="D431" t="s">
        <v>14</v>
      </c>
      <c r="E431" t="s">
        <v>25</v>
      </c>
      <c r="F431" t="s">
        <v>35</v>
      </c>
      <c r="G431">
        <v>316.22000000000003</v>
      </c>
      <c r="H431">
        <v>799.04</v>
      </c>
      <c r="I431">
        <v>15</v>
      </c>
      <c r="J431">
        <f t="shared" si="26"/>
        <v>11985.599999999999</v>
      </c>
      <c r="K431">
        <f t="shared" si="27"/>
        <v>7242.2999999999993</v>
      </c>
      <c r="L431" t="s">
        <v>30</v>
      </c>
      <c r="M431" t="s">
        <v>27</v>
      </c>
      <c r="N431" t="s">
        <v>19</v>
      </c>
    </row>
    <row r="432" spans="1:14" x14ac:dyDescent="0.3">
      <c r="A432" s="1">
        <v>45083</v>
      </c>
      <c r="B432" s="1" t="str">
        <f t="shared" si="24"/>
        <v>Jun</v>
      </c>
      <c r="C432" s="1" t="str">
        <f t="shared" si="25"/>
        <v>2023</v>
      </c>
      <c r="D432" t="s">
        <v>24</v>
      </c>
      <c r="E432" t="s">
        <v>25</v>
      </c>
      <c r="F432" t="s">
        <v>16</v>
      </c>
      <c r="G432">
        <v>1967.96</v>
      </c>
      <c r="H432">
        <v>1993.4</v>
      </c>
      <c r="I432">
        <v>34</v>
      </c>
      <c r="J432">
        <f t="shared" si="26"/>
        <v>67775.600000000006</v>
      </c>
      <c r="K432">
        <f t="shared" si="27"/>
        <v>864.96000000000186</v>
      </c>
      <c r="L432" t="s">
        <v>17</v>
      </c>
      <c r="M432" t="s">
        <v>31</v>
      </c>
      <c r="N432" t="s">
        <v>19</v>
      </c>
    </row>
    <row r="433" spans="1:14" x14ac:dyDescent="0.3">
      <c r="A433" s="1">
        <v>45084</v>
      </c>
      <c r="B433" s="1" t="str">
        <f t="shared" si="24"/>
        <v>Jun</v>
      </c>
      <c r="C433" s="1" t="str">
        <f t="shared" si="25"/>
        <v>2023</v>
      </c>
      <c r="D433" t="s">
        <v>42</v>
      </c>
      <c r="E433" t="s">
        <v>15</v>
      </c>
      <c r="F433" t="s">
        <v>35</v>
      </c>
      <c r="G433">
        <v>2468.29</v>
      </c>
      <c r="H433">
        <v>2723.13</v>
      </c>
      <c r="I433">
        <v>3</v>
      </c>
      <c r="J433">
        <f t="shared" si="26"/>
        <v>8169.39</v>
      </c>
      <c r="K433">
        <f t="shared" si="27"/>
        <v>764.52000000000044</v>
      </c>
      <c r="L433" t="s">
        <v>17</v>
      </c>
      <c r="M433" t="s">
        <v>18</v>
      </c>
      <c r="N433" t="s">
        <v>22</v>
      </c>
    </row>
    <row r="434" spans="1:14" x14ac:dyDescent="0.3">
      <c r="A434" s="1">
        <v>45084</v>
      </c>
      <c r="B434" s="1" t="str">
        <f t="shared" si="24"/>
        <v>Jun</v>
      </c>
      <c r="C434" s="1" t="str">
        <f t="shared" si="25"/>
        <v>2023</v>
      </c>
      <c r="D434" t="s">
        <v>42</v>
      </c>
      <c r="E434" t="s">
        <v>25</v>
      </c>
      <c r="F434" t="s">
        <v>26</v>
      </c>
      <c r="G434">
        <v>4721.7</v>
      </c>
      <c r="H434">
        <v>5017.58</v>
      </c>
      <c r="I434">
        <v>4</v>
      </c>
      <c r="J434">
        <f t="shared" si="26"/>
        <v>20070.32</v>
      </c>
      <c r="K434">
        <f t="shared" si="27"/>
        <v>1183.5200000000004</v>
      </c>
      <c r="L434" t="s">
        <v>30</v>
      </c>
      <c r="M434" t="s">
        <v>18</v>
      </c>
      <c r="N434" t="s">
        <v>22</v>
      </c>
    </row>
    <row r="435" spans="1:14" x14ac:dyDescent="0.3">
      <c r="A435" s="1">
        <v>45084</v>
      </c>
      <c r="B435" s="1" t="str">
        <f t="shared" si="24"/>
        <v>Jun</v>
      </c>
      <c r="C435" s="1" t="str">
        <f t="shared" si="25"/>
        <v>2023</v>
      </c>
      <c r="D435" t="s">
        <v>33</v>
      </c>
      <c r="E435" t="s">
        <v>34</v>
      </c>
      <c r="F435" t="s">
        <v>29</v>
      </c>
      <c r="G435">
        <v>2254.11</v>
      </c>
      <c r="H435">
        <v>2382.23</v>
      </c>
      <c r="I435">
        <v>42</v>
      </c>
      <c r="J435">
        <f t="shared" si="26"/>
        <v>100053.66</v>
      </c>
      <c r="K435">
        <f t="shared" si="27"/>
        <v>5381.0399999999954</v>
      </c>
      <c r="L435" t="s">
        <v>17</v>
      </c>
      <c r="M435" t="s">
        <v>31</v>
      </c>
      <c r="N435" t="s">
        <v>22</v>
      </c>
    </row>
    <row r="436" spans="1:14" x14ac:dyDescent="0.3">
      <c r="A436" s="1">
        <v>45084</v>
      </c>
      <c r="B436" s="1" t="str">
        <f t="shared" si="24"/>
        <v>Jun</v>
      </c>
      <c r="C436" s="1" t="str">
        <f t="shared" si="25"/>
        <v>2023</v>
      </c>
      <c r="D436" t="s">
        <v>33</v>
      </c>
      <c r="E436" t="s">
        <v>34</v>
      </c>
      <c r="F436" t="s">
        <v>26</v>
      </c>
      <c r="G436">
        <v>1974.4</v>
      </c>
      <c r="H436">
        <v>2259.5</v>
      </c>
      <c r="I436">
        <v>31</v>
      </c>
      <c r="J436">
        <f t="shared" si="26"/>
        <v>70044.5</v>
      </c>
      <c r="K436">
        <f t="shared" si="27"/>
        <v>8838.0999999999967</v>
      </c>
      <c r="L436" t="s">
        <v>30</v>
      </c>
      <c r="M436" t="s">
        <v>18</v>
      </c>
      <c r="N436" t="s">
        <v>22</v>
      </c>
    </row>
    <row r="437" spans="1:14" x14ac:dyDescent="0.3">
      <c r="A437" s="1">
        <v>45085</v>
      </c>
      <c r="B437" s="1" t="str">
        <f t="shared" si="24"/>
        <v>Jun</v>
      </c>
      <c r="C437" s="1" t="str">
        <f t="shared" si="25"/>
        <v>2023</v>
      </c>
      <c r="D437" t="s">
        <v>14</v>
      </c>
      <c r="E437" t="s">
        <v>34</v>
      </c>
      <c r="F437" t="s">
        <v>16</v>
      </c>
      <c r="G437">
        <v>3457.28</v>
      </c>
      <c r="H437">
        <v>3598.72</v>
      </c>
      <c r="I437">
        <v>19</v>
      </c>
      <c r="J437">
        <f t="shared" si="26"/>
        <v>68375.679999999993</v>
      </c>
      <c r="K437">
        <f t="shared" si="27"/>
        <v>2687.3599999999924</v>
      </c>
      <c r="L437" t="s">
        <v>30</v>
      </c>
      <c r="M437" t="s">
        <v>27</v>
      </c>
      <c r="N437" t="s">
        <v>19</v>
      </c>
    </row>
    <row r="438" spans="1:14" x14ac:dyDescent="0.3">
      <c r="A438" s="1">
        <v>45085</v>
      </c>
      <c r="B438" s="1" t="str">
        <f t="shared" si="24"/>
        <v>Jun</v>
      </c>
      <c r="C438" s="1" t="str">
        <f t="shared" si="25"/>
        <v>2023</v>
      </c>
      <c r="D438" t="s">
        <v>38</v>
      </c>
      <c r="E438" t="s">
        <v>21</v>
      </c>
      <c r="F438" t="s">
        <v>35</v>
      </c>
      <c r="G438">
        <v>4812.41</v>
      </c>
      <c r="H438">
        <v>5088</v>
      </c>
      <c r="I438">
        <v>49</v>
      </c>
      <c r="J438">
        <f t="shared" si="26"/>
        <v>249312</v>
      </c>
      <c r="K438">
        <f t="shared" si="27"/>
        <v>13503.910000000007</v>
      </c>
      <c r="L438" t="s">
        <v>17</v>
      </c>
      <c r="M438" t="s">
        <v>31</v>
      </c>
      <c r="N438" t="s">
        <v>19</v>
      </c>
    </row>
    <row r="439" spans="1:14" x14ac:dyDescent="0.3">
      <c r="A439" s="1">
        <v>45085</v>
      </c>
      <c r="B439" s="1" t="str">
        <f t="shared" si="24"/>
        <v>Jun</v>
      </c>
      <c r="C439" s="1" t="str">
        <f t="shared" si="25"/>
        <v>2023</v>
      </c>
      <c r="D439" t="s">
        <v>33</v>
      </c>
      <c r="E439" t="s">
        <v>34</v>
      </c>
      <c r="F439" t="s">
        <v>16</v>
      </c>
      <c r="G439">
        <v>4567.3900000000003</v>
      </c>
      <c r="H439">
        <v>4958.78</v>
      </c>
      <c r="I439">
        <v>43</v>
      </c>
      <c r="J439">
        <f t="shared" si="26"/>
        <v>213227.53999999998</v>
      </c>
      <c r="K439">
        <f t="shared" si="27"/>
        <v>16829.769999999975</v>
      </c>
      <c r="L439" t="s">
        <v>30</v>
      </c>
      <c r="M439" t="s">
        <v>18</v>
      </c>
      <c r="N439" t="s">
        <v>22</v>
      </c>
    </row>
    <row r="440" spans="1:14" x14ac:dyDescent="0.3">
      <c r="A440" s="1">
        <v>45086</v>
      </c>
      <c r="B440" s="1" t="str">
        <f t="shared" si="24"/>
        <v>Jun</v>
      </c>
      <c r="C440" s="1" t="str">
        <f t="shared" si="25"/>
        <v>2023</v>
      </c>
      <c r="D440" t="s">
        <v>33</v>
      </c>
      <c r="E440" t="s">
        <v>34</v>
      </c>
      <c r="F440" t="s">
        <v>16</v>
      </c>
      <c r="G440">
        <v>4480.63</v>
      </c>
      <c r="H440">
        <v>4884.12</v>
      </c>
      <c r="I440">
        <v>35</v>
      </c>
      <c r="J440">
        <f t="shared" si="26"/>
        <v>170944.19999999998</v>
      </c>
      <c r="K440">
        <f t="shared" si="27"/>
        <v>14122.149999999992</v>
      </c>
      <c r="L440" t="s">
        <v>30</v>
      </c>
      <c r="M440" t="s">
        <v>18</v>
      </c>
      <c r="N440" t="s">
        <v>19</v>
      </c>
    </row>
    <row r="441" spans="1:14" x14ac:dyDescent="0.3">
      <c r="A441" s="1">
        <v>45086</v>
      </c>
      <c r="B441" s="1" t="str">
        <f t="shared" si="24"/>
        <v>Jun</v>
      </c>
      <c r="C441" s="1" t="str">
        <f t="shared" si="25"/>
        <v>2023</v>
      </c>
      <c r="D441" t="s">
        <v>24</v>
      </c>
      <c r="E441" t="s">
        <v>34</v>
      </c>
      <c r="F441" t="s">
        <v>29</v>
      </c>
      <c r="G441">
        <v>560.91999999999996</v>
      </c>
      <c r="H441">
        <v>1024.31</v>
      </c>
      <c r="I441">
        <v>18</v>
      </c>
      <c r="J441">
        <f t="shared" si="26"/>
        <v>18437.579999999998</v>
      </c>
      <c r="K441">
        <f t="shared" si="27"/>
        <v>8341.02</v>
      </c>
      <c r="L441" t="s">
        <v>17</v>
      </c>
      <c r="M441" t="s">
        <v>18</v>
      </c>
      <c r="N441" t="s">
        <v>19</v>
      </c>
    </row>
    <row r="442" spans="1:14" x14ac:dyDescent="0.3">
      <c r="A442" s="1">
        <v>45086</v>
      </c>
      <c r="B442" s="1" t="str">
        <f t="shared" si="24"/>
        <v>Jun</v>
      </c>
      <c r="C442" s="1" t="str">
        <f t="shared" si="25"/>
        <v>2023</v>
      </c>
      <c r="D442" t="s">
        <v>14</v>
      </c>
      <c r="E442" t="s">
        <v>25</v>
      </c>
      <c r="F442" t="s">
        <v>26</v>
      </c>
      <c r="G442">
        <v>86.59</v>
      </c>
      <c r="H442">
        <v>390.89</v>
      </c>
      <c r="I442">
        <v>38</v>
      </c>
      <c r="J442">
        <f t="shared" si="26"/>
        <v>14853.82</v>
      </c>
      <c r="K442">
        <f t="shared" si="27"/>
        <v>11563.399999999998</v>
      </c>
      <c r="L442" t="s">
        <v>17</v>
      </c>
      <c r="M442" t="s">
        <v>31</v>
      </c>
      <c r="N442" t="s">
        <v>19</v>
      </c>
    </row>
    <row r="443" spans="1:14" x14ac:dyDescent="0.3">
      <c r="A443" s="1">
        <v>45087</v>
      </c>
      <c r="B443" s="1" t="str">
        <f t="shared" si="24"/>
        <v>Jun</v>
      </c>
      <c r="C443" s="1" t="str">
        <f t="shared" si="25"/>
        <v>2023</v>
      </c>
      <c r="D443" t="s">
        <v>42</v>
      </c>
      <c r="E443" t="s">
        <v>15</v>
      </c>
      <c r="F443" t="s">
        <v>16</v>
      </c>
      <c r="G443">
        <v>3146.12</v>
      </c>
      <c r="H443">
        <v>3255.5299999999902</v>
      </c>
      <c r="I443">
        <v>2</v>
      </c>
      <c r="J443">
        <f t="shared" si="26"/>
        <v>6511.0599999999804</v>
      </c>
      <c r="K443">
        <f t="shared" si="27"/>
        <v>218.81999999998061</v>
      </c>
      <c r="L443" t="s">
        <v>17</v>
      </c>
      <c r="M443" t="s">
        <v>27</v>
      </c>
      <c r="N443" t="s">
        <v>19</v>
      </c>
    </row>
    <row r="444" spans="1:14" x14ac:dyDescent="0.3">
      <c r="A444" s="1">
        <v>45087</v>
      </c>
      <c r="B444" s="1" t="str">
        <f t="shared" si="24"/>
        <v>Jun</v>
      </c>
      <c r="C444" s="1" t="str">
        <f t="shared" si="25"/>
        <v>2023</v>
      </c>
      <c r="D444" t="s">
        <v>38</v>
      </c>
      <c r="E444" t="s">
        <v>34</v>
      </c>
      <c r="F444" t="s">
        <v>29</v>
      </c>
      <c r="G444">
        <v>498.27</v>
      </c>
      <c r="H444">
        <v>634.16</v>
      </c>
      <c r="I444">
        <v>15</v>
      </c>
      <c r="J444">
        <f t="shared" si="26"/>
        <v>9512.4</v>
      </c>
      <c r="K444">
        <f t="shared" si="27"/>
        <v>2038.35</v>
      </c>
      <c r="L444" t="s">
        <v>17</v>
      </c>
      <c r="M444" t="s">
        <v>31</v>
      </c>
      <c r="N444" t="s">
        <v>22</v>
      </c>
    </row>
    <row r="445" spans="1:14" x14ac:dyDescent="0.3">
      <c r="A445" s="1">
        <v>45087</v>
      </c>
      <c r="B445" s="1" t="str">
        <f t="shared" si="24"/>
        <v>Jun</v>
      </c>
      <c r="C445" s="1" t="str">
        <f t="shared" si="25"/>
        <v>2023</v>
      </c>
      <c r="D445" t="s">
        <v>33</v>
      </c>
      <c r="E445" t="s">
        <v>34</v>
      </c>
      <c r="F445" t="s">
        <v>16</v>
      </c>
      <c r="G445">
        <v>4643.67</v>
      </c>
      <c r="H445">
        <v>4829.5200000000004</v>
      </c>
      <c r="I445">
        <v>39</v>
      </c>
      <c r="J445">
        <f t="shared" si="26"/>
        <v>188351.28000000003</v>
      </c>
      <c r="K445">
        <f t="shared" si="27"/>
        <v>7248.1500000000142</v>
      </c>
      <c r="L445" t="s">
        <v>17</v>
      </c>
      <c r="M445" t="s">
        <v>27</v>
      </c>
      <c r="N445" t="s">
        <v>19</v>
      </c>
    </row>
    <row r="446" spans="1:14" x14ac:dyDescent="0.3">
      <c r="A446" s="1">
        <v>45087</v>
      </c>
      <c r="B446" s="1" t="str">
        <f t="shared" si="24"/>
        <v>Jun</v>
      </c>
      <c r="C446" s="1" t="str">
        <f t="shared" si="25"/>
        <v>2023</v>
      </c>
      <c r="D446" t="s">
        <v>14</v>
      </c>
      <c r="E446" t="s">
        <v>25</v>
      </c>
      <c r="F446" t="s">
        <v>16</v>
      </c>
      <c r="G446">
        <v>4668.1400000000003</v>
      </c>
      <c r="H446">
        <v>5040.22</v>
      </c>
      <c r="I446">
        <v>21</v>
      </c>
      <c r="J446">
        <f t="shared" si="26"/>
        <v>105844.62000000001</v>
      </c>
      <c r="K446">
        <f t="shared" si="27"/>
        <v>7813.6799999999985</v>
      </c>
      <c r="L446" t="s">
        <v>30</v>
      </c>
      <c r="M446" t="s">
        <v>27</v>
      </c>
      <c r="N446" t="s">
        <v>19</v>
      </c>
    </row>
    <row r="447" spans="1:14" x14ac:dyDescent="0.3">
      <c r="A447" s="1">
        <v>45087</v>
      </c>
      <c r="B447" s="1" t="str">
        <f t="shared" si="24"/>
        <v>Jun</v>
      </c>
      <c r="C447" s="1" t="str">
        <f t="shared" si="25"/>
        <v>2023</v>
      </c>
      <c r="D447" t="s">
        <v>33</v>
      </c>
      <c r="E447" t="s">
        <v>25</v>
      </c>
      <c r="F447" t="s">
        <v>16</v>
      </c>
      <c r="G447">
        <v>252.62</v>
      </c>
      <c r="H447">
        <v>742</v>
      </c>
      <c r="I447">
        <v>6</v>
      </c>
      <c r="J447">
        <f t="shared" si="26"/>
        <v>4452</v>
      </c>
      <c r="K447">
        <f t="shared" si="27"/>
        <v>2936.2799999999997</v>
      </c>
      <c r="L447" t="s">
        <v>30</v>
      </c>
      <c r="M447" t="s">
        <v>31</v>
      </c>
      <c r="N447" t="s">
        <v>22</v>
      </c>
    </row>
    <row r="448" spans="1:14" x14ac:dyDescent="0.3">
      <c r="A448" s="1">
        <v>45088</v>
      </c>
      <c r="B448" s="1" t="str">
        <f t="shared" si="24"/>
        <v>Jun</v>
      </c>
      <c r="C448" s="1" t="str">
        <f t="shared" si="25"/>
        <v>2023</v>
      </c>
      <c r="D448" t="s">
        <v>42</v>
      </c>
      <c r="E448" t="s">
        <v>15</v>
      </c>
      <c r="F448" t="s">
        <v>16</v>
      </c>
      <c r="G448">
        <v>890.31</v>
      </c>
      <c r="H448">
        <v>1159.06</v>
      </c>
      <c r="I448">
        <v>17</v>
      </c>
      <c r="J448">
        <f t="shared" si="26"/>
        <v>19704.02</v>
      </c>
      <c r="K448">
        <f t="shared" si="27"/>
        <v>4568.75</v>
      </c>
      <c r="L448" t="s">
        <v>17</v>
      </c>
      <c r="M448" t="s">
        <v>18</v>
      </c>
      <c r="N448" t="s">
        <v>22</v>
      </c>
    </row>
    <row r="449" spans="1:14" x14ac:dyDescent="0.3">
      <c r="A449" s="1">
        <v>45088</v>
      </c>
      <c r="B449" s="1" t="str">
        <f t="shared" si="24"/>
        <v>Jun</v>
      </c>
      <c r="C449" s="1" t="str">
        <f t="shared" si="25"/>
        <v>2023</v>
      </c>
      <c r="D449" t="s">
        <v>24</v>
      </c>
      <c r="E449" t="s">
        <v>34</v>
      </c>
      <c r="F449" t="s">
        <v>26</v>
      </c>
      <c r="G449">
        <v>3048.48</v>
      </c>
      <c r="H449">
        <v>3198.54</v>
      </c>
      <c r="I449">
        <v>8</v>
      </c>
      <c r="J449">
        <f t="shared" si="26"/>
        <v>25588.32</v>
      </c>
      <c r="K449">
        <f t="shared" si="27"/>
        <v>1200.4799999999996</v>
      </c>
      <c r="L449" t="s">
        <v>17</v>
      </c>
      <c r="M449" t="s">
        <v>27</v>
      </c>
      <c r="N449" t="s">
        <v>19</v>
      </c>
    </row>
    <row r="450" spans="1:14" x14ac:dyDescent="0.3">
      <c r="A450" s="1">
        <v>45089</v>
      </c>
      <c r="B450" s="1" t="str">
        <f t="shared" ref="B450:B513" si="28">TEXT(A450,"MMM")</f>
        <v>Jun</v>
      </c>
      <c r="C450" s="1" t="str">
        <f t="shared" ref="C450:C513" si="29">TEXT(A450,"YYYY")</f>
        <v>2023</v>
      </c>
      <c r="D450" t="s">
        <v>42</v>
      </c>
      <c r="E450" t="s">
        <v>34</v>
      </c>
      <c r="F450" t="s">
        <v>26</v>
      </c>
      <c r="G450">
        <v>4298.12</v>
      </c>
      <c r="H450">
        <v>4446.8999999999996</v>
      </c>
      <c r="I450">
        <v>32</v>
      </c>
      <c r="J450">
        <f t="shared" ref="J450:J513" si="30">(I450*H450)</f>
        <v>142300.79999999999</v>
      </c>
      <c r="K450">
        <f t="shared" ref="K450:K513" si="31">(H450-G450)*I450</f>
        <v>4760.9599999999919</v>
      </c>
      <c r="L450" t="s">
        <v>30</v>
      </c>
      <c r="M450" t="s">
        <v>27</v>
      </c>
      <c r="N450" t="s">
        <v>19</v>
      </c>
    </row>
    <row r="451" spans="1:14" x14ac:dyDescent="0.3">
      <c r="A451" s="1">
        <v>45089</v>
      </c>
      <c r="B451" s="1" t="str">
        <f t="shared" si="28"/>
        <v>Jun</v>
      </c>
      <c r="C451" s="1" t="str">
        <f t="shared" si="29"/>
        <v>2023</v>
      </c>
      <c r="D451" t="s">
        <v>33</v>
      </c>
      <c r="E451" t="s">
        <v>25</v>
      </c>
      <c r="F451" t="s">
        <v>35</v>
      </c>
      <c r="G451">
        <v>3177.81</v>
      </c>
      <c r="H451">
        <v>3222.65</v>
      </c>
      <c r="I451">
        <v>29</v>
      </c>
      <c r="J451">
        <f t="shared" si="30"/>
        <v>93456.85</v>
      </c>
      <c r="K451">
        <f t="shared" si="31"/>
        <v>1300.3600000000042</v>
      </c>
      <c r="L451" t="s">
        <v>17</v>
      </c>
      <c r="M451" t="s">
        <v>31</v>
      </c>
      <c r="N451" t="s">
        <v>22</v>
      </c>
    </row>
    <row r="452" spans="1:14" x14ac:dyDescent="0.3">
      <c r="A452" s="1">
        <v>45090</v>
      </c>
      <c r="B452" s="1" t="str">
        <f t="shared" si="28"/>
        <v>Jun</v>
      </c>
      <c r="C452" s="1" t="str">
        <f t="shared" si="29"/>
        <v>2023</v>
      </c>
      <c r="D452" t="s">
        <v>33</v>
      </c>
      <c r="E452" t="s">
        <v>21</v>
      </c>
      <c r="F452" t="s">
        <v>29</v>
      </c>
      <c r="G452">
        <v>3932.14</v>
      </c>
      <c r="H452">
        <v>4082.7599999999902</v>
      </c>
      <c r="I452">
        <v>5</v>
      </c>
      <c r="J452">
        <f t="shared" si="30"/>
        <v>20413.799999999952</v>
      </c>
      <c r="K452">
        <f t="shared" si="31"/>
        <v>753.09999999995171</v>
      </c>
      <c r="L452" t="s">
        <v>30</v>
      </c>
      <c r="M452" t="s">
        <v>31</v>
      </c>
      <c r="N452" t="s">
        <v>19</v>
      </c>
    </row>
    <row r="453" spans="1:14" x14ac:dyDescent="0.3">
      <c r="A453" s="1">
        <v>45090</v>
      </c>
      <c r="B453" s="1" t="str">
        <f t="shared" si="28"/>
        <v>Jun</v>
      </c>
      <c r="C453" s="1" t="str">
        <f t="shared" si="29"/>
        <v>2023</v>
      </c>
      <c r="D453" t="s">
        <v>33</v>
      </c>
      <c r="E453" t="s">
        <v>34</v>
      </c>
      <c r="F453" t="s">
        <v>16</v>
      </c>
      <c r="G453">
        <v>2162.9499999999998</v>
      </c>
      <c r="H453">
        <v>2191.1899999999901</v>
      </c>
      <c r="I453">
        <v>10</v>
      </c>
      <c r="J453">
        <f t="shared" si="30"/>
        <v>21911.8999999999</v>
      </c>
      <c r="K453">
        <f t="shared" si="31"/>
        <v>282.39999999990232</v>
      </c>
      <c r="L453" t="s">
        <v>17</v>
      </c>
      <c r="M453" t="s">
        <v>31</v>
      </c>
      <c r="N453" t="s">
        <v>19</v>
      </c>
    </row>
    <row r="454" spans="1:14" x14ac:dyDescent="0.3">
      <c r="A454" s="1">
        <v>45091</v>
      </c>
      <c r="B454" s="1" t="str">
        <f t="shared" si="28"/>
        <v>Jun</v>
      </c>
      <c r="C454" s="1" t="str">
        <f t="shared" si="29"/>
        <v>2023</v>
      </c>
      <c r="D454" t="s">
        <v>42</v>
      </c>
      <c r="E454" t="s">
        <v>15</v>
      </c>
      <c r="F454" t="s">
        <v>29</v>
      </c>
      <c r="G454">
        <v>1481.76</v>
      </c>
      <c r="H454">
        <v>1668.95</v>
      </c>
      <c r="I454">
        <v>9</v>
      </c>
      <c r="J454">
        <f t="shared" si="30"/>
        <v>15020.550000000001</v>
      </c>
      <c r="K454">
        <f t="shared" si="31"/>
        <v>1684.7100000000005</v>
      </c>
      <c r="L454" t="s">
        <v>17</v>
      </c>
      <c r="M454" t="s">
        <v>31</v>
      </c>
      <c r="N454" t="s">
        <v>22</v>
      </c>
    </row>
    <row r="455" spans="1:14" x14ac:dyDescent="0.3">
      <c r="A455" s="1">
        <v>45091</v>
      </c>
      <c r="B455" s="1" t="str">
        <f t="shared" si="28"/>
        <v>Jun</v>
      </c>
      <c r="C455" s="1" t="str">
        <f t="shared" si="29"/>
        <v>2023</v>
      </c>
      <c r="D455" t="s">
        <v>38</v>
      </c>
      <c r="E455" t="s">
        <v>15</v>
      </c>
      <c r="F455" t="s">
        <v>29</v>
      </c>
      <c r="G455">
        <v>1394.17</v>
      </c>
      <c r="H455">
        <v>1891.02</v>
      </c>
      <c r="I455">
        <v>24</v>
      </c>
      <c r="J455">
        <f t="shared" si="30"/>
        <v>45384.479999999996</v>
      </c>
      <c r="K455">
        <f t="shared" si="31"/>
        <v>11924.399999999998</v>
      </c>
      <c r="L455" t="s">
        <v>30</v>
      </c>
      <c r="M455" t="s">
        <v>31</v>
      </c>
      <c r="N455" t="s">
        <v>19</v>
      </c>
    </row>
    <row r="456" spans="1:14" x14ac:dyDescent="0.3">
      <c r="A456" s="1">
        <v>45091</v>
      </c>
      <c r="B456" s="1" t="str">
        <f t="shared" si="28"/>
        <v>Jun</v>
      </c>
      <c r="C456" s="1" t="str">
        <f t="shared" si="29"/>
        <v>2023</v>
      </c>
      <c r="D456" t="s">
        <v>42</v>
      </c>
      <c r="E456" t="s">
        <v>25</v>
      </c>
      <c r="F456" t="s">
        <v>16</v>
      </c>
      <c r="G456">
        <v>4456.67</v>
      </c>
      <c r="H456">
        <v>4642.46</v>
      </c>
      <c r="I456">
        <v>38</v>
      </c>
      <c r="J456">
        <f t="shared" si="30"/>
        <v>176413.48</v>
      </c>
      <c r="K456">
        <f t="shared" si="31"/>
        <v>7060.0199999999986</v>
      </c>
      <c r="L456" t="s">
        <v>30</v>
      </c>
      <c r="M456" t="s">
        <v>27</v>
      </c>
      <c r="N456" t="s">
        <v>19</v>
      </c>
    </row>
    <row r="457" spans="1:14" x14ac:dyDescent="0.3">
      <c r="A457" s="1">
        <v>45092</v>
      </c>
      <c r="B457" s="1" t="str">
        <f t="shared" si="28"/>
        <v>Jun</v>
      </c>
      <c r="C457" s="1" t="str">
        <f t="shared" si="29"/>
        <v>2023</v>
      </c>
      <c r="D457" t="s">
        <v>42</v>
      </c>
      <c r="E457" t="s">
        <v>34</v>
      </c>
      <c r="F457" t="s">
        <v>16</v>
      </c>
      <c r="G457">
        <v>3087.73</v>
      </c>
      <c r="H457">
        <v>3263.96</v>
      </c>
      <c r="I457">
        <v>13</v>
      </c>
      <c r="J457">
        <f t="shared" si="30"/>
        <v>42431.48</v>
      </c>
      <c r="K457">
        <f t="shared" si="31"/>
        <v>2290.9900000000002</v>
      </c>
      <c r="L457" t="s">
        <v>30</v>
      </c>
      <c r="M457" t="s">
        <v>18</v>
      </c>
      <c r="N457" t="s">
        <v>22</v>
      </c>
    </row>
    <row r="458" spans="1:14" x14ac:dyDescent="0.3">
      <c r="A458" s="1">
        <v>45092</v>
      </c>
      <c r="B458" s="1" t="str">
        <f t="shared" si="28"/>
        <v>Jun</v>
      </c>
      <c r="C458" s="1" t="str">
        <f t="shared" si="29"/>
        <v>2023</v>
      </c>
      <c r="D458" t="s">
        <v>42</v>
      </c>
      <c r="E458" t="s">
        <v>21</v>
      </c>
      <c r="F458" t="s">
        <v>26</v>
      </c>
      <c r="G458">
        <v>1089.0899999999999</v>
      </c>
      <c r="H458">
        <v>1355.44</v>
      </c>
      <c r="I458">
        <v>42</v>
      </c>
      <c r="J458">
        <f t="shared" si="30"/>
        <v>56928.480000000003</v>
      </c>
      <c r="K458">
        <f t="shared" si="31"/>
        <v>11186.700000000006</v>
      </c>
      <c r="L458" t="s">
        <v>30</v>
      </c>
      <c r="M458" t="s">
        <v>18</v>
      </c>
      <c r="N458" t="s">
        <v>22</v>
      </c>
    </row>
    <row r="459" spans="1:14" x14ac:dyDescent="0.3">
      <c r="A459" s="1">
        <v>45092</v>
      </c>
      <c r="B459" s="1" t="str">
        <f t="shared" si="28"/>
        <v>Jun</v>
      </c>
      <c r="C459" s="1" t="str">
        <f t="shared" si="29"/>
        <v>2023</v>
      </c>
      <c r="D459" t="s">
        <v>24</v>
      </c>
      <c r="E459" t="s">
        <v>15</v>
      </c>
      <c r="F459" t="s">
        <v>35</v>
      </c>
      <c r="G459">
        <v>4349.3599999999997</v>
      </c>
      <c r="H459">
        <v>4645.17</v>
      </c>
      <c r="I459">
        <v>35</v>
      </c>
      <c r="J459">
        <f t="shared" si="30"/>
        <v>162580.95000000001</v>
      </c>
      <c r="K459">
        <f t="shared" si="31"/>
        <v>10353.350000000013</v>
      </c>
      <c r="L459" t="s">
        <v>17</v>
      </c>
      <c r="M459" t="s">
        <v>31</v>
      </c>
      <c r="N459" t="s">
        <v>22</v>
      </c>
    </row>
    <row r="460" spans="1:14" x14ac:dyDescent="0.3">
      <c r="A460" s="1">
        <v>45092</v>
      </c>
      <c r="B460" s="1" t="str">
        <f t="shared" si="28"/>
        <v>Jun</v>
      </c>
      <c r="C460" s="1" t="str">
        <f t="shared" si="29"/>
        <v>2023</v>
      </c>
      <c r="D460" t="s">
        <v>38</v>
      </c>
      <c r="E460" t="s">
        <v>15</v>
      </c>
      <c r="F460" t="s">
        <v>16</v>
      </c>
      <c r="G460">
        <v>1749.34</v>
      </c>
      <c r="H460">
        <v>1935.25</v>
      </c>
      <c r="I460">
        <v>26</v>
      </c>
      <c r="J460">
        <f t="shared" si="30"/>
        <v>50316.5</v>
      </c>
      <c r="K460">
        <f t="shared" si="31"/>
        <v>4833.6600000000017</v>
      </c>
      <c r="L460" t="s">
        <v>30</v>
      </c>
      <c r="M460" t="s">
        <v>31</v>
      </c>
      <c r="N460" t="s">
        <v>19</v>
      </c>
    </row>
    <row r="461" spans="1:14" x14ac:dyDescent="0.3">
      <c r="A461" s="1">
        <v>45094</v>
      </c>
      <c r="B461" s="1" t="str">
        <f t="shared" si="28"/>
        <v>Jun</v>
      </c>
      <c r="C461" s="1" t="str">
        <f t="shared" si="29"/>
        <v>2023</v>
      </c>
      <c r="D461" t="s">
        <v>33</v>
      </c>
      <c r="E461" t="s">
        <v>15</v>
      </c>
      <c r="F461" t="s">
        <v>16</v>
      </c>
      <c r="G461">
        <v>2388.9499999999998</v>
      </c>
      <c r="H461">
        <v>2742.97</v>
      </c>
      <c r="I461">
        <v>6</v>
      </c>
      <c r="J461">
        <f t="shared" si="30"/>
        <v>16457.82</v>
      </c>
      <c r="K461">
        <f t="shared" si="31"/>
        <v>2124.12</v>
      </c>
      <c r="L461" t="s">
        <v>17</v>
      </c>
      <c r="M461" t="s">
        <v>31</v>
      </c>
      <c r="N461" t="s">
        <v>22</v>
      </c>
    </row>
    <row r="462" spans="1:14" x14ac:dyDescent="0.3">
      <c r="A462" s="1">
        <v>45094</v>
      </c>
      <c r="B462" s="1" t="str">
        <f t="shared" si="28"/>
        <v>Jun</v>
      </c>
      <c r="C462" s="1" t="str">
        <f t="shared" si="29"/>
        <v>2023</v>
      </c>
      <c r="D462" t="s">
        <v>42</v>
      </c>
      <c r="E462" t="s">
        <v>34</v>
      </c>
      <c r="F462" t="s">
        <v>16</v>
      </c>
      <c r="G462">
        <v>1447.45</v>
      </c>
      <c r="H462">
        <v>1703.02</v>
      </c>
      <c r="I462">
        <v>47</v>
      </c>
      <c r="J462">
        <f t="shared" si="30"/>
        <v>80041.94</v>
      </c>
      <c r="K462">
        <f t="shared" si="31"/>
        <v>12011.789999999997</v>
      </c>
      <c r="L462" t="s">
        <v>17</v>
      </c>
      <c r="M462" t="s">
        <v>27</v>
      </c>
      <c r="N462" t="s">
        <v>22</v>
      </c>
    </row>
    <row r="463" spans="1:14" x14ac:dyDescent="0.3">
      <c r="A463" s="1">
        <v>45094</v>
      </c>
      <c r="B463" s="1" t="str">
        <f t="shared" si="28"/>
        <v>Jun</v>
      </c>
      <c r="C463" s="1" t="str">
        <f t="shared" si="29"/>
        <v>2023</v>
      </c>
      <c r="D463" t="s">
        <v>24</v>
      </c>
      <c r="E463" t="s">
        <v>34</v>
      </c>
      <c r="F463" t="s">
        <v>29</v>
      </c>
      <c r="G463">
        <v>2792.2</v>
      </c>
      <c r="H463">
        <v>3254.5499999999902</v>
      </c>
      <c r="I463">
        <v>21</v>
      </c>
      <c r="J463">
        <f t="shared" si="30"/>
        <v>68345.549999999799</v>
      </c>
      <c r="K463">
        <f t="shared" si="31"/>
        <v>9709.3499999997985</v>
      </c>
      <c r="L463" t="s">
        <v>30</v>
      </c>
      <c r="M463" t="s">
        <v>31</v>
      </c>
      <c r="N463" t="s">
        <v>22</v>
      </c>
    </row>
    <row r="464" spans="1:14" x14ac:dyDescent="0.3">
      <c r="A464" s="1">
        <v>45095</v>
      </c>
      <c r="B464" s="1" t="str">
        <f t="shared" si="28"/>
        <v>Jun</v>
      </c>
      <c r="C464" s="1" t="str">
        <f t="shared" si="29"/>
        <v>2023</v>
      </c>
      <c r="D464" t="s">
        <v>38</v>
      </c>
      <c r="E464" t="s">
        <v>21</v>
      </c>
      <c r="F464" t="s">
        <v>29</v>
      </c>
      <c r="G464">
        <v>1543.91</v>
      </c>
      <c r="H464">
        <v>1862.88</v>
      </c>
      <c r="I464">
        <v>24</v>
      </c>
      <c r="J464">
        <f t="shared" si="30"/>
        <v>44709.120000000003</v>
      </c>
      <c r="K464">
        <f t="shared" si="31"/>
        <v>7655.2800000000007</v>
      </c>
      <c r="L464" t="s">
        <v>30</v>
      </c>
      <c r="M464" t="s">
        <v>27</v>
      </c>
      <c r="N464" t="s">
        <v>19</v>
      </c>
    </row>
    <row r="465" spans="1:14" x14ac:dyDescent="0.3">
      <c r="A465" s="1">
        <v>45096</v>
      </c>
      <c r="B465" s="1" t="str">
        <f t="shared" si="28"/>
        <v>Jun</v>
      </c>
      <c r="C465" s="1" t="str">
        <f t="shared" si="29"/>
        <v>2023</v>
      </c>
      <c r="D465" t="s">
        <v>38</v>
      </c>
      <c r="E465" t="s">
        <v>21</v>
      </c>
      <c r="F465" t="s">
        <v>26</v>
      </c>
      <c r="G465">
        <v>117.63</v>
      </c>
      <c r="H465">
        <v>576.44000000000005</v>
      </c>
      <c r="I465">
        <v>18</v>
      </c>
      <c r="J465">
        <f t="shared" si="30"/>
        <v>10375.920000000002</v>
      </c>
      <c r="K465">
        <f t="shared" si="31"/>
        <v>8258.5800000000017</v>
      </c>
      <c r="L465" t="s">
        <v>30</v>
      </c>
      <c r="M465" t="s">
        <v>31</v>
      </c>
      <c r="N465" t="s">
        <v>22</v>
      </c>
    </row>
    <row r="466" spans="1:14" x14ac:dyDescent="0.3">
      <c r="A466" s="1">
        <v>45096</v>
      </c>
      <c r="B466" s="1" t="str">
        <f t="shared" si="28"/>
        <v>Jun</v>
      </c>
      <c r="C466" s="1" t="str">
        <f t="shared" si="29"/>
        <v>2023</v>
      </c>
      <c r="D466" t="s">
        <v>38</v>
      </c>
      <c r="E466" t="s">
        <v>25</v>
      </c>
      <c r="F466" t="s">
        <v>26</v>
      </c>
      <c r="G466">
        <v>3196.38</v>
      </c>
      <c r="H466">
        <v>3596.64</v>
      </c>
      <c r="I466">
        <v>27</v>
      </c>
      <c r="J466">
        <f t="shared" si="30"/>
        <v>97109.28</v>
      </c>
      <c r="K466">
        <f t="shared" si="31"/>
        <v>10807.019999999993</v>
      </c>
      <c r="L466" t="s">
        <v>30</v>
      </c>
      <c r="M466" t="s">
        <v>18</v>
      </c>
      <c r="N466" t="s">
        <v>22</v>
      </c>
    </row>
    <row r="467" spans="1:14" x14ac:dyDescent="0.3">
      <c r="A467" s="1">
        <v>45096</v>
      </c>
      <c r="B467" s="1" t="str">
        <f t="shared" si="28"/>
        <v>Jun</v>
      </c>
      <c r="C467" s="1" t="str">
        <f t="shared" si="29"/>
        <v>2023</v>
      </c>
      <c r="D467" t="s">
        <v>24</v>
      </c>
      <c r="E467" t="s">
        <v>15</v>
      </c>
      <c r="F467" t="s">
        <v>35</v>
      </c>
      <c r="G467">
        <v>3835.64</v>
      </c>
      <c r="H467">
        <v>4076.77</v>
      </c>
      <c r="I467">
        <v>36</v>
      </c>
      <c r="J467">
        <f t="shared" si="30"/>
        <v>146763.72</v>
      </c>
      <c r="K467">
        <f t="shared" si="31"/>
        <v>8680.6800000000039</v>
      </c>
      <c r="L467" t="s">
        <v>17</v>
      </c>
      <c r="M467" t="s">
        <v>31</v>
      </c>
      <c r="N467" t="s">
        <v>22</v>
      </c>
    </row>
    <row r="468" spans="1:14" x14ac:dyDescent="0.3">
      <c r="A468" s="1">
        <v>45097</v>
      </c>
      <c r="B468" s="1" t="str">
        <f t="shared" si="28"/>
        <v>Jun</v>
      </c>
      <c r="C468" s="1" t="str">
        <f t="shared" si="29"/>
        <v>2023</v>
      </c>
      <c r="D468" t="s">
        <v>42</v>
      </c>
      <c r="E468" t="s">
        <v>25</v>
      </c>
      <c r="F468" t="s">
        <v>29</v>
      </c>
      <c r="G468">
        <v>325.75</v>
      </c>
      <c r="H468">
        <v>803.71</v>
      </c>
      <c r="I468">
        <v>47</v>
      </c>
      <c r="J468">
        <f t="shared" si="30"/>
        <v>37774.370000000003</v>
      </c>
      <c r="K468">
        <f t="shared" si="31"/>
        <v>22464.120000000003</v>
      </c>
      <c r="L468" t="s">
        <v>30</v>
      </c>
      <c r="M468" t="s">
        <v>27</v>
      </c>
      <c r="N468" t="s">
        <v>22</v>
      </c>
    </row>
    <row r="469" spans="1:14" x14ac:dyDescent="0.3">
      <c r="A469" s="1">
        <v>45097</v>
      </c>
      <c r="B469" s="1" t="str">
        <f t="shared" si="28"/>
        <v>Jun</v>
      </c>
      <c r="C469" s="1" t="str">
        <f t="shared" si="29"/>
        <v>2023</v>
      </c>
      <c r="D469" t="s">
        <v>38</v>
      </c>
      <c r="E469" t="s">
        <v>21</v>
      </c>
      <c r="F469" t="s">
        <v>29</v>
      </c>
      <c r="G469">
        <v>2614.48</v>
      </c>
      <c r="H469">
        <v>3049.04</v>
      </c>
      <c r="I469">
        <v>48</v>
      </c>
      <c r="J469">
        <f t="shared" si="30"/>
        <v>146353.91999999998</v>
      </c>
      <c r="K469">
        <f t="shared" si="31"/>
        <v>20858.879999999997</v>
      </c>
      <c r="L469" t="s">
        <v>30</v>
      </c>
      <c r="M469" t="s">
        <v>31</v>
      </c>
      <c r="N469" t="s">
        <v>22</v>
      </c>
    </row>
    <row r="470" spans="1:14" x14ac:dyDescent="0.3">
      <c r="A470" s="1">
        <v>45098</v>
      </c>
      <c r="B470" s="1" t="str">
        <f t="shared" si="28"/>
        <v>Jun</v>
      </c>
      <c r="C470" s="1" t="str">
        <f t="shared" si="29"/>
        <v>2023</v>
      </c>
      <c r="D470" t="s">
        <v>38</v>
      </c>
      <c r="E470" t="s">
        <v>15</v>
      </c>
      <c r="F470" t="s">
        <v>29</v>
      </c>
      <c r="G470">
        <v>1006.14</v>
      </c>
      <c r="H470">
        <v>1043.45</v>
      </c>
      <c r="I470">
        <v>28</v>
      </c>
      <c r="J470">
        <f t="shared" si="30"/>
        <v>29216.600000000002</v>
      </c>
      <c r="K470">
        <f t="shared" si="31"/>
        <v>1044.6800000000017</v>
      </c>
      <c r="L470" t="s">
        <v>30</v>
      </c>
      <c r="M470" t="s">
        <v>27</v>
      </c>
      <c r="N470" t="s">
        <v>22</v>
      </c>
    </row>
    <row r="471" spans="1:14" x14ac:dyDescent="0.3">
      <c r="A471" s="1">
        <v>45098</v>
      </c>
      <c r="B471" s="1" t="str">
        <f t="shared" si="28"/>
        <v>Jun</v>
      </c>
      <c r="C471" s="1" t="str">
        <f t="shared" si="29"/>
        <v>2023</v>
      </c>
      <c r="D471" t="s">
        <v>14</v>
      </c>
      <c r="E471" t="s">
        <v>21</v>
      </c>
      <c r="F471" t="s">
        <v>35</v>
      </c>
      <c r="G471">
        <v>984.53</v>
      </c>
      <c r="H471">
        <v>1138.49</v>
      </c>
      <c r="I471">
        <v>46</v>
      </c>
      <c r="J471">
        <f t="shared" si="30"/>
        <v>52370.54</v>
      </c>
      <c r="K471">
        <f t="shared" si="31"/>
        <v>7082.1600000000017</v>
      </c>
      <c r="L471" t="s">
        <v>30</v>
      </c>
      <c r="M471" t="s">
        <v>27</v>
      </c>
      <c r="N471" t="s">
        <v>19</v>
      </c>
    </row>
    <row r="472" spans="1:14" x14ac:dyDescent="0.3">
      <c r="A472" s="1">
        <v>45099</v>
      </c>
      <c r="B472" s="1" t="str">
        <f t="shared" si="28"/>
        <v>Jun</v>
      </c>
      <c r="C472" s="1" t="str">
        <f t="shared" si="29"/>
        <v>2023</v>
      </c>
      <c r="D472" t="s">
        <v>38</v>
      </c>
      <c r="E472" t="s">
        <v>25</v>
      </c>
      <c r="F472" t="s">
        <v>35</v>
      </c>
      <c r="G472">
        <v>2416.89</v>
      </c>
      <c r="H472">
        <v>2778.3999999999901</v>
      </c>
      <c r="I472">
        <v>39</v>
      </c>
      <c r="J472">
        <f t="shared" si="30"/>
        <v>108357.59999999961</v>
      </c>
      <c r="K472">
        <f t="shared" si="31"/>
        <v>14098.889999999617</v>
      </c>
      <c r="L472" t="s">
        <v>17</v>
      </c>
      <c r="M472" t="s">
        <v>18</v>
      </c>
      <c r="N472" t="s">
        <v>19</v>
      </c>
    </row>
    <row r="473" spans="1:14" x14ac:dyDescent="0.3">
      <c r="A473" s="1">
        <v>45099</v>
      </c>
      <c r="B473" s="1" t="str">
        <f t="shared" si="28"/>
        <v>Jun</v>
      </c>
      <c r="C473" s="1" t="str">
        <f t="shared" si="29"/>
        <v>2023</v>
      </c>
      <c r="D473" t="s">
        <v>14</v>
      </c>
      <c r="E473" t="s">
        <v>25</v>
      </c>
      <c r="F473" t="s">
        <v>35</v>
      </c>
      <c r="G473">
        <v>3997.1</v>
      </c>
      <c r="H473">
        <v>4212.6499999999996</v>
      </c>
      <c r="I473">
        <v>25</v>
      </c>
      <c r="J473">
        <f t="shared" si="30"/>
        <v>105316.24999999999</v>
      </c>
      <c r="K473">
        <f t="shared" si="31"/>
        <v>5388.7499999999927</v>
      </c>
      <c r="L473" t="s">
        <v>30</v>
      </c>
      <c r="M473" t="s">
        <v>18</v>
      </c>
      <c r="N473" t="s">
        <v>19</v>
      </c>
    </row>
    <row r="474" spans="1:14" x14ac:dyDescent="0.3">
      <c r="A474" s="1">
        <v>45099</v>
      </c>
      <c r="B474" s="1" t="str">
        <f t="shared" si="28"/>
        <v>Jun</v>
      </c>
      <c r="C474" s="1" t="str">
        <f t="shared" si="29"/>
        <v>2023</v>
      </c>
      <c r="D474" t="s">
        <v>38</v>
      </c>
      <c r="E474" t="s">
        <v>34</v>
      </c>
      <c r="F474" t="s">
        <v>29</v>
      </c>
      <c r="G474">
        <v>437.59</v>
      </c>
      <c r="H474">
        <v>675.54</v>
      </c>
      <c r="I474">
        <v>49</v>
      </c>
      <c r="J474">
        <f t="shared" si="30"/>
        <v>33101.46</v>
      </c>
      <c r="K474">
        <f t="shared" si="31"/>
        <v>11659.55</v>
      </c>
      <c r="L474" t="s">
        <v>17</v>
      </c>
      <c r="M474" t="s">
        <v>18</v>
      </c>
      <c r="N474" t="s">
        <v>19</v>
      </c>
    </row>
    <row r="475" spans="1:14" x14ac:dyDescent="0.3">
      <c r="A475" s="1">
        <v>45099</v>
      </c>
      <c r="B475" s="1" t="str">
        <f t="shared" si="28"/>
        <v>Jun</v>
      </c>
      <c r="C475" s="1" t="str">
        <f t="shared" si="29"/>
        <v>2023</v>
      </c>
      <c r="D475" t="s">
        <v>38</v>
      </c>
      <c r="E475" t="s">
        <v>15</v>
      </c>
      <c r="F475" t="s">
        <v>16</v>
      </c>
      <c r="G475">
        <v>4291.97</v>
      </c>
      <c r="H475">
        <v>4645.6400000000003</v>
      </c>
      <c r="I475">
        <v>49</v>
      </c>
      <c r="J475">
        <f t="shared" si="30"/>
        <v>227636.36000000002</v>
      </c>
      <c r="K475">
        <f t="shared" si="31"/>
        <v>17329.830000000002</v>
      </c>
      <c r="L475" t="s">
        <v>17</v>
      </c>
      <c r="M475" t="s">
        <v>31</v>
      </c>
      <c r="N475" t="s">
        <v>19</v>
      </c>
    </row>
    <row r="476" spans="1:14" x14ac:dyDescent="0.3">
      <c r="A476" s="1">
        <v>45100</v>
      </c>
      <c r="B476" s="1" t="str">
        <f t="shared" si="28"/>
        <v>Jun</v>
      </c>
      <c r="C476" s="1" t="str">
        <f t="shared" si="29"/>
        <v>2023</v>
      </c>
      <c r="D476" t="s">
        <v>24</v>
      </c>
      <c r="E476" t="s">
        <v>21</v>
      </c>
      <c r="F476" t="s">
        <v>35</v>
      </c>
      <c r="G476">
        <v>1456.09</v>
      </c>
      <c r="H476">
        <v>1510.4299999999901</v>
      </c>
      <c r="I476">
        <v>27</v>
      </c>
      <c r="J476">
        <f t="shared" si="30"/>
        <v>40781.609999999731</v>
      </c>
      <c r="K476">
        <f t="shared" si="31"/>
        <v>1467.1799999997338</v>
      </c>
      <c r="L476" t="s">
        <v>17</v>
      </c>
      <c r="M476" t="s">
        <v>18</v>
      </c>
      <c r="N476" t="s">
        <v>22</v>
      </c>
    </row>
    <row r="477" spans="1:14" x14ac:dyDescent="0.3">
      <c r="A477" s="1">
        <v>45100</v>
      </c>
      <c r="B477" s="1" t="str">
        <f t="shared" si="28"/>
        <v>Jun</v>
      </c>
      <c r="C477" s="1" t="str">
        <f t="shared" si="29"/>
        <v>2023</v>
      </c>
      <c r="D477" t="s">
        <v>14</v>
      </c>
      <c r="E477" t="s">
        <v>15</v>
      </c>
      <c r="F477" t="s">
        <v>16</v>
      </c>
      <c r="G477">
        <v>3435.68</v>
      </c>
      <c r="H477">
        <v>3552.6299999999901</v>
      </c>
      <c r="I477">
        <v>11</v>
      </c>
      <c r="J477">
        <f t="shared" si="30"/>
        <v>39078.929999999891</v>
      </c>
      <c r="K477">
        <f t="shared" si="31"/>
        <v>1286.449999999893</v>
      </c>
      <c r="L477" t="s">
        <v>30</v>
      </c>
      <c r="M477" t="s">
        <v>18</v>
      </c>
      <c r="N477" t="s">
        <v>22</v>
      </c>
    </row>
    <row r="478" spans="1:14" x14ac:dyDescent="0.3">
      <c r="A478" s="1">
        <v>45101</v>
      </c>
      <c r="B478" s="1" t="str">
        <f t="shared" si="28"/>
        <v>Jun</v>
      </c>
      <c r="C478" s="1" t="str">
        <f t="shared" si="29"/>
        <v>2023</v>
      </c>
      <c r="D478" t="s">
        <v>42</v>
      </c>
      <c r="E478" t="s">
        <v>21</v>
      </c>
      <c r="F478" t="s">
        <v>35</v>
      </c>
      <c r="G478">
        <v>4916.17</v>
      </c>
      <c r="H478">
        <v>5309.32</v>
      </c>
      <c r="I478">
        <v>24</v>
      </c>
      <c r="J478">
        <f t="shared" si="30"/>
        <v>127423.67999999999</v>
      </c>
      <c r="K478">
        <f t="shared" si="31"/>
        <v>9435.5999999999913</v>
      </c>
      <c r="L478" t="s">
        <v>17</v>
      </c>
      <c r="M478" t="s">
        <v>31</v>
      </c>
      <c r="N478" t="s">
        <v>19</v>
      </c>
    </row>
    <row r="479" spans="1:14" x14ac:dyDescent="0.3">
      <c r="A479" s="1">
        <v>45101</v>
      </c>
      <c r="B479" s="1" t="str">
        <f t="shared" si="28"/>
        <v>Jun</v>
      </c>
      <c r="C479" s="1" t="str">
        <f t="shared" si="29"/>
        <v>2023</v>
      </c>
      <c r="D479" t="s">
        <v>42</v>
      </c>
      <c r="E479" t="s">
        <v>15</v>
      </c>
      <c r="F479" t="s">
        <v>29</v>
      </c>
      <c r="G479">
        <v>3105.24</v>
      </c>
      <c r="H479">
        <v>3246.33</v>
      </c>
      <c r="I479">
        <v>43</v>
      </c>
      <c r="J479">
        <f t="shared" si="30"/>
        <v>139592.19</v>
      </c>
      <c r="K479">
        <f t="shared" si="31"/>
        <v>6066.8700000000063</v>
      </c>
      <c r="L479" t="s">
        <v>30</v>
      </c>
      <c r="M479" t="s">
        <v>18</v>
      </c>
      <c r="N479" t="s">
        <v>19</v>
      </c>
    </row>
    <row r="480" spans="1:14" x14ac:dyDescent="0.3">
      <c r="A480" s="1">
        <v>45101</v>
      </c>
      <c r="B480" s="1" t="str">
        <f t="shared" si="28"/>
        <v>Jun</v>
      </c>
      <c r="C480" s="1" t="str">
        <f t="shared" si="29"/>
        <v>2023</v>
      </c>
      <c r="D480" t="s">
        <v>14</v>
      </c>
      <c r="E480" t="s">
        <v>21</v>
      </c>
      <c r="F480" t="s">
        <v>16</v>
      </c>
      <c r="G480">
        <v>4133.92</v>
      </c>
      <c r="H480">
        <v>4358.37</v>
      </c>
      <c r="I480">
        <v>13</v>
      </c>
      <c r="J480">
        <f t="shared" si="30"/>
        <v>56658.81</v>
      </c>
      <c r="K480">
        <f t="shared" si="31"/>
        <v>2917.8499999999976</v>
      </c>
      <c r="L480" t="s">
        <v>30</v>
      </c>
      <c r="M480" t="s">
        <v>18</v>
      </c>
      <c r="N480" t="s">
        <v>22</v>
      </c>
    </row>
    <row r="481" spans="1:14" x14ac:dyDescent="0.3">
      <c r="A481" s="1">
        <v>45102</v>
      </c>
      <c r="B481" s="1" t="str">
        <f t="shared" si="28"/>
        <v>Jun</v>
      </c>
      <c r="C481" s="1" t="str">
        <f t="shared" si="29"/>
        <v>2023</v>
      </c>
      <c r="D481" t="s">
        <v>42</v>
      </c>
      <c r="E481" t="s">
        <v>21</v>
      </c>
      <c r="F481" t="s">
        <v>35</v>
      </c>
      <c r="G481">
        <v>3144.82</v>
      </c>
      <c r="H481">
        <v>3480.58</v>
      </c>
      <c r="I481">
        <v>2</v>
      </c>
      <c r="J481">
        <f t="shared" si="30"/>
        <v>6961.16</v>
      </c>
      <c r="K481">
        <f t="shared" si="31"/>
        <v>671.51999999999953</v>
      </c>
      <c r="L481" t="s">
        <v>17</v>
      </c>
      <c r="M481" t="s">
        <v>18</v>
      </c>
      <c r="N481" t="s">
        <v>22</v>
      </c>
    </row>
    <row r="482" spans="1:14" x14ac:dyDescent="0.3">
      <c r="A482" s="1">
        <v>45102</v>
      </c>
      <c r="B482" s="1" t="str">
        <f t="shared" si="28"/>
        <v>Jun</v>
      </c>
      <c r="C482" s="1" t="str">
        <f t="shared" si="29"/>
        <v>2023</v>
      </c>
      <c r="D482" t="s">
        <v>42</v>
      </c>
      <c r="E482" t="s">
        <v>21</v>
      </c>
      <c r="F482" t="s">
        <v>35</v>
      </c>
      <c r="G482">
        <v>566.86</v>
      </c>
      <c r="H482">
        <v>818.14</v>
      </c>
      <c r="I482">
        <v>10</v>
      </c>
      <c r="J482">
        <f t="shared" si="30"/>
        <v>8181.4</v>
      </c>
      <c r="K482">
        <f t="shared" si="31"/>
        <v>2512.7999999999997</v>
      </c>
      <c r="L482" t="s">
        <v>17</v>
      </c>
      <c r="M482" t="s">
        <v>31</v>
      </c>
      <c r="N482" t="s">
        <v>22</v>
      </c>
    </row>
    <row r="483" spans="1:14" x14ac:dyDescent="0.3">
      <c r="A483" s="1">
        <v>45102</v>
      </c>
      <c r="B483" s="1" t="str">
        <f t="shared" si="28"/>
        <v>Jun</v>
      </c>
      <c r="C483" s="1" t="str">
        <f t="shared" si="29"/>
        <v>2023</v>
      </c>
      <c r="D483" t="s">
        <v>38</v>
      </c>
      <c r="E483" t="s">
        <v>25</v>
      </c>
      <c r="F483" t="s">
        <v>29</v>
      </c>
      <c r="G483">
        <v>4920.34</v>
      </c>
      <c r="H483">
        <v>5129.1899999999996</v>
      </c>
      <c r="I483">
        <v>9</v>
      </c>
      <c r="J483">
        <f t="shared" si="30"/>
        <v>46162.71</v>
      </c>
      <c r="K483">
        <f t="shared" si="31"/>
        <v>1879.6499999999951</v>
      </c>
      <c r="L483" t="s">
        <v>17</v>
      </c>
      <c r="M483" t="s">
        <v>31</v>
      </c>
      <c r="N483" t="s">
        <v>19</v>
      </c>
    </row>
    <row r="484" spans="1:14" x14ac:dyDescent="0.3">
      <c r="A484" s="1">
        <v>45103</v>
      </c>
      <c r="B484" s="1" t="str">
        <f t="shared" si="28"/>
        <v>Jun</v>
      </c>
      <c r="C484" s="1" t="str">
        <f t="shared" si="29"/>
        <v>2023</v>
      </c>
      <c r="D484" t="s">
        <v>33</v>
      </c>
      <c r="E484" t="s">
        <v>15</v>
      </c>
      <c r="F484" t="s">
        <v>35</v>
      </c>
      <c r="G484">
        <v>3401.87</v>
      </c>
      <c r="H484">
        <v>3733.71</v>
      </c>
      <c r="I484">
        <v>3</v>
      </c>
      <c r="J484">
        <f t="shared" si="30"/>
        <v>11201.130000000001</v>
      </c>
      <c r="K484">
        <f t="shared" si="31"/>
        <v>995.52000000000044</v>
      </c>
      <c r="L484" t="s">
        <v>17</v>
      </c>
      <c r="M484" t="s">
        <v>27</v>
      </c>
      <c r="N484" t="s">
        <v>22</v>
      </c>
    </row>
    <row r="485" spans="1:14" x14ac:dyDescent="0.3">
      <c r="A485" s="1">
        <v>45103</v>
      </c>
      <c r="B485" s="1" t="str">
        <f t="shared" si="28"/>
        <v>Jun</v>
      </c>
      <c r="C485" s="1" t="str">
        <f t="shared" si="29"/>
        <v>2023</v>
      </c>
      <c r="D485" t="s">
        <v>24</v>
      </c>
      <c r="E485" t="s">
        <v>15</v>
      </c>
      <c r="F485" t="s">
        <v>16</v>
      </c>
      <c r="G485">
        <v>3861.61</v>
      </c>
      <c r="H485">
        <v>3998.91</v>
      </c>
      <c r="I485">
        <v>47</v>
      </c>
      <c r="J485">
        <f t="shared" si="30"/>
        <v>187948.77</v>
      </c>
      <c r="K485">
        <f t="shared" si="31"/>
        <v>6453.0999999999876</v>
      </c>
      <c r="L485" t="s">
        <v>30</v>
      </c>
      <c r="M485" t="s">
        <v>31</v>
      </c>
      <c r="N485" t="s">
        <v>19</v>
      </c>
    </row>
    <row r="486" spans="1:14" x14ac:dyDescent="0.3">
      <c r="A486" s="1">
        <v>45103</v>
      </c>
      <c r="B486" s="1" t="str">
        <f t="shared" si="28"/>
        <v>Jun</v>
      </c>
      <c r="C486" s="1" t="str">
        <f t="shared" si="29"/>
        <v>2023</v>
      </c>
      <c r="D486" t="s">
        <v>42</v>
      </c>
      <c r="E486" t="s">
        <v>15</v>
      </c>
      <c r="F486" t="s">
        <v>29</v>
      </c>
      <c r="G486">
        <v>2278.04</v>
      </c>
      <c r="H486">
        <v>2598.58</v>
      </c>
      <c r="I486">
        <v>21</v>
      </c>
      <c r="J486">
        <f t="shared" si="30"/>
        <v>54570.18</v>
      </c>
      <c r="K486">
        <f t="shared" si="31"/>
        <v>6731.3399999999992</v>
      </c>
      <c r="L486" t="s">
        <v>17</v>
      </c>
      <c r="M486" t="s">
        <v>31</v>
      </c>
      <c r="N486" t="s">
        <v>22</v>
      </c>
    </row>
    <row r="487" spans="1:14" x14ac:dyDescent="0.3">
      <c r="A487" s="1">
        <v>45103</v>
      </c>
      <c r="B487" s="1" t="str">
        <f t="shared" si="28"/>
        <v>Jun</v>
      </c>
      <c r="C487" s="1" t="str">
        <f t="shared" si="29"/>
        <v>2023</v>
      </c>
      <c r="D487" t="s">
        <v>24</v>
      </c>
      <c r="E487" t="s">
        <v>15</v>
      </c>
      <c r="F487" t="s">
        <v>29</v>
      </c>
      <c r="G487">
        <v>295.82</v>
      </c>
      <c r="H487">
        <v>684.67</v>
      </c>
      <c r="I487">
        <v>35</v>
      </c>
      <c r="J487">
        <f t="shared" si="30"/>
        <v>23963.449999999997</v>
      </c>
      <c r="K487">
        <f t="shared" si="31"/>
        <v>13609.749999999998</v>
      </c>
      <c r="L487" t="s">
        <v>30</v>
      </c>
      <c r="M487" t="s">
        <v>31</v>
      </c>
      <c r="N487" t="s">
        <v>19</v>
      </c>
    </row>
    <row r="488" spans="1:14" x14ac:dyDescent="0.3">
      <c r="A488" s="1">
        <v>45103</v>
      </c>
      <c r="B488" s="1" t="str">
        <f t="shared" si="28"/>
        <v>Jun</v>
      </c>
      <c r="C488" s="1" t="str">
        <f t="shared" si="29"/>
        <v>2023</v>
      </c>
      <c r="D488" t="s">
        <v>38</v>
      </c>
      <c r="E488" t="s">
        <v>15</v>
      </c>
      <c r="F488" t="s">
        <v>16</v>
      </c>
      <c r="G488">
        <v>3925.85</v>
      </c>
      <c r="H488">
        <v>4082.1099999999901</v>
      </c>
      <c r="I488">
        <v>35</v>
      </c>
      <c r="J488">
        <f t="shared" si="30"/>
        <v>142873.84999999966</v>
      </c>
      <c r="K488">
        <f t="shared" si="31"/>
        <v>5469.0999999996575</v>
      </c>
      <c r="L488" t="s">
        <v>30</v>
      </c>
      <c r="M488" t="s">
        <v>18</v>
      </c>
      <c r="N488" t="s">
        <v>19</v>
      </c>
    </row>
    <row r="489" spans="1:14" x14ac:dyDescent="0.3">
      <c r="A489" s="1">
        <v>45104</v>
      </c>
      <c r="B489" s="1" t="str">
        <f t="shared" si="28"/>
        <v>Jun</v>
      </c>
      <c r="C489" s="1" t="str">
        <f t="shared" si="29"/>
        <v>2023</v>
      </c>
      <c r="D489" t="s">
        <v>42</v>
      </c>
      <c r="E489" t="s">
        <v>21</v>
      </c>
      <c r="F489" t="s">
        <v>35</v>
      </c>
      <c r="G489">
        <v>2953.23</v>
      </c>
      <c r="H489">
        <v>2977.52</v>
      </c>
      <c r="I489">
        <v>2</v>
      </c>
      <c r="J489">
        <f t="shared" si="30"/>
        <v>5955.04</v>
      </c>
      <c r="K489">
        <f t="shared" si="31"/>
        <v>48.579999999999927</v>
      </c>
      <c r="L489" t="s">
        <v>17</v>
      </c>
      <c r="M489" t="s">
        <v>31</v>
      </c>
      <c r="N489" t="s">
        <v>22</v>
      </c>
    </row>
    <row r="490" spans="1:14" x14ac:dyDescent="0.3">
      <c r="A490" s="1">
        <v>45104</v>
      </c>
      <c r="B490" s="1" t="str">
        <f t="shared" si="28"/>
        <v>Jun</v>
      </c>
      <c r="C490" s="1" t="str">
        <f t="shared" si="29"/>
        <v>2023</v>
      </c>
      <c r="D490" t="s">
        <v>33</v>
      </c>
      <c r="E490" t="s">
        <v>15</v>
      </c>
      <c r="F490" t="s">
        <v>35</v>
      </c>
      <c r="G490">
        <v>1222.4000000000001</v>
      </c>
      <c r="H490">
        <v>1464.71</v>
      </c>
      <c r="I490">
        <v>19</v>
      </c>
      <c r="J490">
        <f t="shared" si="30"/>
        <v>27829.49</v>
      </c>
      <c r="K490">
        <f t="shared" si="31"/>
        <v>4603.8899999999994</v>
      </c>
      <c r="L490" t="s">
        <v>30</v>
      </c>
      <c r="M490" t="s">
        <v>31</v>
      </c>
      <c r="N490" t="s">
        <v>22</v>
      </c>
    </row>
    <row r="491" spans="1:14" x14ac:dyDescent="0.3">
      <c r="A491" s="1">
        <v>45104</v>
      </c>
      <c r="B491" s="1" t="str">
        <f t="shared" si="28"/>
        <v>Jun</v>
      </c>
      <c r="C491" s="1" t="str">
        <f t="shared" si="29"/>
        <v>2023</v>
      </c>
      <c r="D491" t="s">
        <v>14</v>
      </c>
      <c r="E491" t="s">
        <v>34</v>
      </c>
      <c r="F491" t="s">
        <v>35</v>
      </c>
      <c r="G491">
        <v>4394.58</v>
      </c>
      <c r="H491">
        <v>4545.78</v>
      </c>
      <c r="I491">
        <v>2</v>
      </c>
      <c r="J491">
        <f t="shared" si="30"/>
        <v>9091.56</v>
      </c>
      <c r="K491">
        <f t="shared" si="31"/>
        <v>302.39999999999964</v>
      </c>
      <c r="L491" t="s">
        <v>17</v>
      </c>
      <c r="M491" t="s">
        <v>31</v>
      </c>
      <c r="N491" t="s">
        <v>22</v>
      </c>
    </row>
    <row r="492" spans="1:14" x14ac:dyDescent="0.3">
      <c r="A492" s="1">
        <v>45104</v>
      </c>
      <c r="B492" s="1" t="str">
        <f t="shared" si="28"/>
        <v>Jun</v>
      </c>
      <c r="C492" s="1" t="str">
        <f t="shared" si="29"/>
        <v>2023</v>
      </c>
      <c r="D492" t="s">
        <v>38</v>
      </c>
      <c r="E492" t="s">
        <v>21</v>
      </c>
      <c r="F492" t="s">
        <v>16</v>
      </c>
      <c r="G492">
        <v>900.97</v>
      </c>
      <c r="H492">
        <v>1321.18</v>
      </c>
      <c r="I492">
        <v>35</v>
      </c>
      <c r="J492">
        <f t="shared" si="30"/>
        <v>46241.3</v>
      </c>
      <c r="K492">
        <f t="shared" si="31"/>
        <v>14707.350000000002</v>
      </c>
      <c r="L492" t="s">
        <v>17</v>
      </c>
      <c r="M492" t="s">
        <v>18</v>
      </c>
      <c r="N492" t="s">
        <v>19</v>
      </c>
    </row>
    <row r="493" spans="1:14" x14ac:dyDescent="0.3">
      <c r="A493" s="1">
        <v>45105</v>
      </c>
      <c r="B493" s="1" t="str">
        <f t="shared" si="28"/>
        <v>Jun</v>
      </c>
      <c r="C493" s="1" t="str">
        <f t="shared" si="29"/>
        <v>2023</v>
      </c>
      <c r="D493" t="s">
        <v>14</v>
      </c>
      <c r="E493" t="s">
        <v>21</v>
      </c>
      <c r="F493" t="s">
        <v>16</v>
      </c>
      <c r="G493">
        <v>4881.63</v>
      </c>
      <c r="H493">
        <v>5088.0600000000004</v>
      </c>
      <c r="I493">
        <v>38</v>
      </c>
      <c r="J493">
        <f t="shared" si="30"/>
        <v>193346.28000000003</v>
      </c>
      <c r="K493">
        <f t="shared" si="31"/>
        <v>7844.3400000000111</v>
      </c>
      <c r="L493" t="s">
        <v>17</v>
      </c>
      <c r="M493" t="s">
        <v>31</v>
      </c>
      <c r="N493" t="s">
        <v>22</v>
      </c>
    </row>
    <row r="494" spans="1:14" x14ac:dyDescent="0.3">
      <c r="A494" s="1">
        <v>45105</v>
      </c>
      <c r="B494" s="1" t="str">
        <f t="shared" si="28"/>
        <v>Jun</v>
      </c>
      <c r="C494" s="1" t="str">
        <f t="shared" si="29"/>
        <v>2023</v>
      </c>
      <c r="D494" t="s">
        <v>38</v>
      </c>
      <c r="E494" t="s">
        <v>34</v>
      </c>
      <c r="F494" t="s">
        <v>29</v>
      </c>
      <c r="G494">
        <v>4155.46</v>
      </c>
      <c r="H494">
        <v>4273.6000000000004</v>
      </c>
      <c r="I494">
        <v>9</v>
      </c>
      <c r="J494">
        <f t="shared" si="30"/>
        <v>38462.400000000001</v>
      </c>
      <c r="K494">
        <f t="shared" si="31"/>
        <v>1063.2600000000029</v>
      </c>
      <c r="L494" t="s">
        <v>17</v>
      </c>
      <c r="M494" t="s">
        <v>18</v>
      </c>
      <c r="N494" t="s">
        <v>22</v>
      </c>
    </row>
    <row r="495" spans="1:14" x14ac:dyDescent="0.3">
      <c r="A495" s="1">
        <v>45105</v>
      </c>
      <c r="B495" s="1" t="str">
        <f t="shared" si="28"/>
        <v>Jun</v>
      </c>
      <c r="C495" s="1" t="str">
        <f t="shared" si="29"/>
        <v>2023</v>
      </c>
      <c r="D495" t="s">
        <v>14</v>
      </c>
      <c r="E495" t="s">
        <v>15</v>
      </c>
      <c r="F495" t="s">
        <v>35</v>
      </c>
      <c r="G495">
        <v>1969.78</v>
      </c>
      <c r="H495">
        <v>2437.6999999999998</v>
      </c>
      <c r="I495">
        <v>13</v>
      </c>
      <c r="J495">
        <f t="shared" si="30"/>
        <v>31690.1</v>
      </c>
      <c r="K495">
        <f t="shared" si="31"/>
        <v>6082.9599999999982</v>
      </c>
      <c r="L495" t="s">
        <v>30</v>
      </c>
      <c r="M495" t="s">
        <v>31</v>
      </c>
      <c r="N495" t="s">
        <v>22</v>
      </c>
    </row>
    <row r="496" spans="1:14" x14ac:dyDescent="0.3">
      <c r="A496" s="1">
        <v>45105</v>
      </c>
      <c r="B496" s="1" t="str">
        <f t="shared" si="28"/>
        <v>Jun</v>
      </c>
      <c r="C496" s="1" t="str">
        <f t="shared" si="29"/>
        <v>2023</v>
      </c>
      <c r="D496" t="s">
        <v>33</v>
      </c>
      <c r="E496" t="s">
        <v>15</v>
      </c>
      <c r="F496" t="s">
        <v>29</v>
      </c>
      <c r="G496">
        <v>3736.88</v>
      </c>
      <c r="H496">
        <v>3946.77</v>
      </c>
      <c r="I496">
        <v>41</v>
      </c>
      <c r="J496">
        <f t="shared" si="30"/>
        <v>161817.57</v>
      </c>
      <c r="K496">
        <f t="shared" si="31"/>
        <v>8605.4899999999943</v>
      </c>
      <c r="L496" t="s">
        <v>17</v>
      </c>
      <c r="M496" t="s">
        <v>31</v>
      </c>
      <c r="N496" t="s">
        <v>19</v>
      </c>
    </row>
    <row r="497" spans="1:14" x14ac:dyDescent="0.3">
      <c r="A497" s="1">
        <v>45106</v>
      </c>
      <c r="B497" s="1" t="str">
        <f t="shared" si="28"/>
        <v>Jun</v>
      </c>
      <c r="C497" s="1" t="str">
        <f t="shared" si="29"/>
        <v>2023</v>
      </c>
      <c r="D497" t="s">
        <v>38</v>
      </c>
      <c r="E497" t="s">
        <v>25</v>
      </c>
      <c r="F497" t="s">
        <v>26</v>
      </c>
      <c r="G497">
        <v>4319.32</v>
      </c>
      <c r="H497">
        <v>4625.5599999999904</v>
      </c>
      <c r="I497">
        <v>48</v>
      </c>
      <c r="J497">
        <f t="shared" si="30"/>
        <v>222026.87999999954</v>
      </c>
      <c r="K497">
        <f t="shared" si="31"/>
        <v>14699.519999999553</v>
      </c>
      <c r="L497" t="s">
        <v>17</v>
      </c>
      <c r="M497" t="s">
        <v>27</v>
      </c>
      <c r="N497" t="s">
        <v>19</v>
      </c>
    </row>
    <row r="498" spans="1:14" x14ac:dyDescent="0.3">
      <c r="A498" s="1">
        <v>45106</v>
      </c>
      <c r="B498" s="1" t="str">
        <f t="shared" si="28"/>
        <v>Jun</v>
      </c>
      <c r="C498" s="1" t="str">
        <f t="shared" si="29"/>
        <v>2023</v>
      </c>
      <c r="D498" t="s">
        <v>24</v>
      </c>
      <c r="E498" t="s">
        <v>25</v>
      </c>
      <c r="F498" t="s">
        <v>16</v>
      </c>
      <c r="G498">
        <v>738.06</v>
      </c>
      <c r="H498">
        <v>1095.44999999999</v>
      </c>
      <c r="I498">
        <v>30</v>
      </c>
      <c r="J498">
        <f t="shared" si="30"/>
        <v>32863.499999999702</v>
      </c>
      <c r="K498">
        <f t="shared" si="31"/>
        <v>10721.699999999702</v>
      </c>
      <c r="L498" t="s">
        <v>30</v>
      </c>
      <c r="M498" t="s">
        <v>27</v>
      </c>
      <c r="N498" t="s">
        <v>19</v>
      </c>
    </row>
    <row r="499" spans="1:14" x14ac:dyDescent="0.3">
      <c r="A499" s="1">
        <v>45107</v>
      </c>
      <c r="B499" s="1" t="str">
        <f t="shared" si="28"/>
        <v>Jun</v>
      </c>
      <c r="C499" s="1" t="str">
        <f t="shared" si="29"/>
        <v>2023</v>
      </c>
      <c r="D499" t="s">
        <v>38</v>
      </c>
      <c r="E499" t="s">
        <v>15</v>
      </c>
      <c r="F499" t="s">
        <v>29</v>
      </c>
      <c r="G499">
        <v>2522.7600000000002</v>
      </c>
      <c r="H499">
        <v>2840.14</v>
      </c>
      <c r="I499">
        <v>6</v>
      </c>
      <c r="J499">
        <f t="shared" si="30"/>
        <v>17040.84</v>
      </c>
      <c r="K499">
        <f t="shared" si="31"/>
        <v>1904.2799999999979</v>
      </c>
      <c r="L499" t="s">
        <v>17</v>
      </c>
      <c r="M499" t="s">
        <v>31</v>
      </c>
      <c r="N499" t="s">
        <v>22</v>
      </c>
    </row>
    <row r="500" spans="1:14" x14ac:dyDescent="0.3">
      <c r="A500" s="1">
        <v>45107</v>
      </c>
      <c r="B500" s="1" t="str">
        <f t="shared" si="28"/>
        <v>Jun</v>
      </c>
      <c r="C500" s="1" t="str">
        <f t="shared" si="29"/>
        <v>2023</v>
      </c>
      <c r="D500" t="s">
        <v>38</v>
      </c>
      <c r="E500" t="s">
        <v>25</v>
      </c>
      <c r="F500" t="s">
        <v>16</v>
      </c>
      <c r="G500">
        <v>1339</v>
      </c>
      <c r="H500">
        <v>1441.88</v>
      </c>
      <c r="I500">
        <v>13</v>
      </c>
      <c r="J500">
        <f t="shared" si="30"/>
        <v>18744.440000000002</v>
      </c>
      <c r="K500">
        <f t="shared" si="31"/>
        <v>1337.4400000000014</v>
      </c>
      <c r="L500" t="s">
        <v>17</v>
      </c>
      <c r="M500" t="s">
        <v>31</v>
      </c>
      <c r="N500" t="s">
        <v>22</v>
      </c>
    </row>
    <row r="501" spans="1:14" x14ac:dyDescent="0.3">
      <c r="A501" s="1">
        <v>45107</v>
      </c>
      <c r="B501" s="1" t="str">
        <f t="shared" si="28"/>
        <v>Jun</v>
      </c>
      <c r="C501" s="1" t="str">
        <f t="shared" si="29"/>
        <v>2023</v>
      </c>
      <c r="D501" t="s">
        <v>14</v>
      </c>
      <c r="E501" t="s">
        <v>15</v>
      </c>
      <c r="F501" t="s">
        <v>29</v>
      </c>
      <c r="G501">
        <v>2245.64</v>
      </c>
      <c r="H501">
        <v>2260.81</v>
      </c>
      <c r="I501">
        <v>46</v>
      </c>
      <c r="J501">
        <f t="shared" si="30"/>
        <v>103997.26</v>
      </c>
      <c r="K501">
        <f t="shared" si="31"/>
        <v>697.82000000000335</v>
      </c>
      <c r="L501" t="s">
        <v>30</v>
      </c>
      <c r="M501" t="s">
        <v>18</v>
      </c>
      <c r="N501" t="s">
        <v>22</v>
      </c>
    </row>
    <row r="502" spans="1:14" x14ac:dyDescent="0.3">
      <c r="A502" s="1">
        <v>45108</v>
      </c>
      <c r="B502" s="1" t="str">
        <f t="shared" si="28"/>
        <v>Jul</v>
      </c>
      <c r="C502" s="1" t="str">
        <f t="shared" si="29"/>
        <v>2023</v>
      </c>
      <c r="D502" t="s">
        <v>38</v>
      </c>
      <c r="E502" t="s">
        <v>15</v>
      </c>
      <c r="F502" t="s">
        <v>29</v>
      </c>
      <c r="G502">
        <v>1615.26</v>
      </c>
      <c r="H502">
        <v>1710.95</v>
      </c>
      <c r="I502">
        <v>15</v>
      </c>
      <c r="J502">
        <f t="shared" si="30"/>
        <v>25664.25</v>
      </c>
      <c r="K502">
        <f t="shared" si="31"/>
        <v>1435.3500000000008</v>
      </c>
      <c r="L502" t="s">
        <v>30</v>
      </c>
      <c r="M502" t="s">
        <v>31</v>
      </c>
      <c r="N502" t="s">
        <v>22</v>
      </c>
    </row>
    <row r="503" spans="1:14" x14ac:dyDescent="0.3">
      <c r="A503" s="1">
        <v>45108</v>
      </c>
      <c r="B503" s="1" t="str">
        <f t="shared" si="28"/>
        <v>Jul</v>
      </c>
      <c r="C503" s="1" t="str">
        <f t="shared" si="29"/>
        <v>2023</v>
      </c>
      <c r="D503" t="s">
        <v>42</v>
      </c>
      <c r="E503" t="s">
        <v>21</v>
      </c>
      <c r="F503" t="s">
        <v>16</v>
      </c>
      <c r="G503">
        <v>1475</v>
      </c>
      <c r="H503">
        <v>1840.77</v>
      </c>
      <c r="I503">
        <v>17</v>
      </c>
      <c r="J503">
        <f t="shared" si="30"/>
        <v>31293.09</v>
      </c>
      <c r="K503">
        <f t="shared" si="31"/>
        <v>6218.09</v>
      </c>
      <c r="L503" t="s">
        <v>17</v>
      </c>
      <c r="M503" t="s">
        <v>31</v>
      </c>
      <c r="N503" t="s">
        <v>19</v>
      </c>
    </row>
    <row r="504" spans="1:14" x14ac:dyDescent="0.3">
      <c r="A504" s="1">
        <v>45108</v>
      </c>
      <c r="B504" s="1" t="str">
        <f t="shared" si="28"/>
        <v>Jul</v>
      </c>
      <c r="C504" s="1" t="str">
        <f t="shared" si="29"/>
        <v>2023</v>
      </c>
      <c r="D504" t="s">
        <v>24</v>
      </c>
      <c r="E504" t="s">
        <v>15</v>
      </c>
      <c r="F504" t="s">
        <v>16</v>
      </c>
      <c r="G504">
        <v>4496.8599999999997</v>
      </c>
      <c r="H504">
        <v>4880.7999999999902</v>
      </c>
      <c r="I504">
        <v>31</v>
      </c>
      <c r="J504">
        <f t="shared" si="30"/>
        <v>151304.7999999997</v>
      </c>
      <c r="K504">
        <f t="shared" si="31"/>
        <v>11902.139999999705</v>
      </c>
      <c r="L504" t="s">
        <v>30</v>
      </c>
      <c r="M504" t="s">
        <v>18</v>
      </c>
      <c r="N504" t="s">
        <v>22</v>
      </c>
    </row>
    <row r="505" spans="1:14" x14ac:dyDescent="0.3">
      <c r="A505" s="1">
        <v>45109</v>
      </c>
      <c r="B505" s="1" t="str">
        <f t="shared" si="28"/>
        <v>Jul</v>
      </c>
      <c r="C505" s="1" t="str">
        <f t="shared" si="29"/>
        <v>2023</v>
      </c>
      <c r="D505" t="s">
        <v>24</v>
      </c>
      <c r="E505" t="s">
        <v>34</v>
      </c>
      <c r="F505" t="s">
        <v>29</v>
      </c>
      <c r="G505">
        <v>4705.46</v>
      </c>
      <c r="H505">
        <v>4747.07</v>
      </c>
      <c r="I505">
        <v>7</v>
      </c>
      <c r="J505">
        <f t="shared" si="30"/>
        <v>33229.49</v>
      </c>
      <c r="K505">
        <f t="shared" si="31"/>
        <v>291.26999999999771</v>
      </c>
      <c r="L505" t="s">
        <v>30</v>
      </c>
      <c r="M505" t="s">
        <v>27</v>
      </c>
      <c r="N505" t="s">
        <v>22</v>
      </c>
    </row>
    <row r="506" spans="1:14" x14ac:dyDescent="0.3">
      <c r="A506" s="1">
        <v>45109</v>
      </c>
      <c r="B506" s="1" t="str">
        <f t="shared" si="28"/>
        <v>Jul</v>
      </c>
      <c r="C506" s="1" t="str">
        <f t="shared" si="29"/>
        <v>2023</v>
      </c>
      <c r="D506" t="s">
        <v>42</v>
      </c>
      <c r="E506" t="s">
        <v>15</v>
      </c>
      <c r="F506" t="s">
        <v>35</v>
      </c>
      <c r="G506">
        <v>689.66</v>
      </c>
      <c r="H506">
        <v>1150.28</v>
      </c>
      <c r="I506">
        <v>36</v>
      </c>
      <c r="J506">
        <f t="shared" si="30"/>
        <v>41410.080000000002</v>
      </c>
      <c r="K506">
        <f t="shared" si="31"/>
        <v>16582.32</v>
      </c>
      <c r="L506" t="s">
        <v>30</v>
      </c>
      <c r="M506" t="s">
        <v>27</v>
      </c>
      <c r="N506" t="s">
        <v>19</v>
      </c>
    </row>
    <row r="507" spans="1:14" x14ac:dyDescent="0.3">
      <c r="A507" s="1">
        <v>45110</v>
      </c>
      <c r="B507" s="1" t="str">
        <f t="shared" si="28"/>
        <v>Jul</v>
      </c>
      <c r="C507" s="1" t="str">
        <f t="shared" si="29"/>
        <v>2023</v>
      </c>
      <c r="D507" t="s">
        <v>33</v>
      </c>
      <c r="E507" t="s">
        <v>15</v>
      </c>
      <c r="F507" t="s">
        <v>16</v>
      </c>
      <c r="G507">
        <v>2579.31</v>
      </c>
      <c r="H507">
        <v>2867.36</v>
      </c>
      <c r="I507">
        <v>15</v>
      </c>
      <c r="J507">
        <f t="shared" si="30"/>
        <v>43010.400000000001</v>
      </c>
      <c r="K507">
        <f t="shared" si="31"/>
        <v>4320.7500000000027</v>
      </c>
      <c r="L507" t="s">
        <v>17</v>
      </c>
      <c r="M507" t="s">
        <v>27</v>
      </c>
      <c r="N507" t="s">
        <v>22</v>
      </c>
    </row>
    <row r="508" spans="1:14" x14ac:dyDescent="0.3">
      <c r="A508" s="1">
        <v>45111</v>
      </c>
      <c r="B508" s="1" t="str">
        <f t="shared" si="28"/>
        <v>Jul</v>
      </c>
      <c r="C508" s="1" t="str">
        <f t="shared" si="29"/>
        <v>2023</v>
      </c>
      <c r="D508" t="s">
        <v>33</v>
      </c>
      <c r="E508" t="s">
        <v>15</v>
      </c>
      <c r="F508" t="s">
        <v>16</v>
      </c>
      <c r="G508">
        <v>951.21</v>
      </c>
      <c r="H508">
        <v>1320.32</v>
      </c>
      <c r="I508">
        <v>31</v>
      </c>
      <c r="J508">
        <f t="shared" si="30"/>
        <v>40929.919999999998</v>
      </c>
      <c r="K508">
        <f t="shared" si="31"/>
        <v>11442.409999999996</v>
      </c>
      <c r="L508" t="s">
        <v>30</v>
      </c>
      <c r="M508" t="s">
        <v>18</v>
      </c>
      <c r="N508" t="s">
        <v>19</v>
      </c>
    </row>
    <row r="509" spans="1:14" x14ac:dyDescent="0.3">
      <c r="A509" s="1">
        <v>45112</v>
      </c>
      <c r="B509" s="1" t="str">
        <f t="shared" si="28"/>
        <v>Jul</v>
      </c>
      <c r="C509" s="1" t="str">
        <f t="shared" si="29"/>
        <v>2023</v>
      </c>
      <c r="D509" t="s">
        <v>42</v>
      </c>
      <c r="E509" t="s">
        <v>21</v>
      </c>
      <c r="F509" t="s">
        <v>16</v>
      </c>
      <c r="G509">
        <v>3624.97</v>
      </c>
      <c r="H509">
        <v>3836.52</v>
      </c>
      <c r="I509">
        <v>27</v>
      </c>
      <c r="J509">
        <f t="shared" si="30"/>
        <v>103586.04</v>
      </c>
      <c r="K509">
        <f t="shared" si="31"/>
        <v>5711.8500000000049</v>
      </c>
      <c r="L509" t="s">
        <v>30</v>
      </c>
      <c r="M509" t="s">
        <v>18</v>
      </c>
      <c r="N509" t="s">
        <v>19</v>
      </c>
    </row>
    <row r="510" spans="1:14" x14ac:dyDescent="0.3">
      <c r="A510" s="1">
        <v>45113</v>
      </c>
      <c r="B510" s="1" t="str">
        <f t="shared" si="28"/>
        <v>Jul</v>
      </c>
      <c r="C510" s="1" t="str">
        <f t="shared" si="29"/>
        <v>2023</v>
      </c>
      <c r="D510" t="s">
        <v>33</v>
      </c>
      <c r="E510" t="s">
        <v>34</v>
      </c>
      <c r="F510" t="s">
        <v>35</v>
      </c>
      <c r="G510">
        <v>200.56</v>
      </c>
      <c r="H510">
        <v>540.38</v>
      </c>
      <c r="I510">
        <v>11</v>
      </c>
      <c r="J510">
        <f t="shared" si="30"/>
        <v>5944.18</v>
      </c>
      <c r="K510">
        <f t="shared" si="31"/>
        <v>3738.02</v>
      </c>
      <c r="L510" t="s">
        <v>30</v>
      </c>
      <c r="M510" t="s">
        <v>27</v>
      </c>
      <c r="N510" t="s">
        <v>19</v>
      </c>
    </row>
    <row r="511" spans="1:14" x14ac:dyDescent="0.3">
      <c r="A511" s="1">
        <v>45113</v>
      </c>
      <c r="B511" s="1" t="str">
        <f t="shared" si="28"/>
        <v>Jul</v>
      </c>
      <c r="C511" s="1" t="str">
        <f t="shared" si="29"/>
        <v>2023</v>
      </c>
      <c r="D511" t="s">
        <v>38</v>
      </c>
      <c r="E511" t="s">
        <v>25</v>
      </c>
      <c r="F511" t="s">
        <v>29</v>
      </c>
      <c r="G511">
        <v>4195.38</v>
      </c>
      <c r="H511">
        <v>4461.51</v>
      </c>
      <c r="I511">
        <v>16</v>
      </c>
      <c r="J511">
        <f t="shared" si="30"/>
        <v>71384.160000000003</v>
      </c>
      <c r="K511">
        <f t="shared" si="31"/>
        <v>4258.0800000000017</v>
      </c>
      <c r="L511" t="s">
        <v>17</v>
      </c>
      <c r="M511" t="s">
        <v>27</v>
      </c>
      <c r="N511" t="s">
        <v>19</v>
      </c>
    </row>
    <row r="512" spans="1:14" x14ac:dyDescent="0.3">
      <c r="A512" s="1">
        <v>45114</v>
      </c>
      <c r="B512" s="1" t="str">
        <f t="shared" si="28"/>
        <v>Jul</v>
      </c>
      <c r="C512" s="1" t="str">
        <f t="shared" si="29"/>
        <v>2023</v>
      </c>
      <c r="D512" t="s">
        <v>38</v>
      </c>
      <c r="E512" t="s">
        <v>15</v>
      </c>
      <c r="F512" t="s">
        <v>29</v>
      </c>
      <c r="G512">
        <v>2278.87</v>
      </c>
      <c r="H512">
        <v>2646.5299999999902</v>
      </c>
      <c r="I512">
        <v>35</v>
      </c>
      <c r="J512">
        <f t="shared" si="30"/>
        <v>92628.549999999654</v>
      </c>
      <c r="K512">
        <f t="shared" si="31"/>
        <v>12868.09999999966</v>
      </c>
      <c r="L512" t="s">
        <v>17</v>
      </c>
      <c r="M512" t="s">
        <v>27</v>
      </c>
      <c r="N512" t="s">
        <v>19</v>
      </c>
    </row>
    <row r="513" spans="1:14" x14ac:dyDescent="0.3">
      <c r="A513" s="1">
        <v>45114</v>
      </c>
      <c r="B513" s="1" t="str">
        <f t="shared" si="28"/>
        <v>Jul</v>
      </c>
      <c r="C513" s="1" t="str">
        <f t="shared" si="29"/>
        <v>2023</v>
      </c>
      <c r="D513" t="s">
        <v>38</v>
      </c>
      <c r="E513" t="s">
        <v>34</v>
      </c>
      <c r="F513" t="s">
        <v>26</v>
      </c>
      <c r="G513">
        <v>4342.53</v>
      </c>
      <c r="H513">
        <v>4357.49</v>
      </c>
      <c r="I513">
        <v>13</v>
      </c>
      <c r="J513">
        <f t="shared" si="30"/>
        <v>56647.369999999995</v>
      </c>
      <c r="K513">
        <f t="shared" si="31"/>
        <v>194.48000000000047</v>
      </c>
      <c r="L513" t="s">
        <v>30</v>
      </c>
      <c r="M513" t="s">
        <v>27</v>
      </c>
      <c r="N513" t="s">
        <v>19</v>
      </c>
    </row>
    <row r="514" spans="1:14" x14ac:dyDescent="0.3">
      <c r="A514" s="1">
        <v>45114</v>
      </c>
      <c r="B514" s="1" t="str">
        <f t="shared" ref="B514:B577" si="32">TEXT(A514,"MMM")</f>
        <v>Jul</v>
      </c>
      <c r="C514" s="1" t="str">
        <f t="shared" ref="C514:C577" si="33">TEXT(A514,"YYYY")</f>
        <v>2023</v>
      </c>
      <c r="D514" t="s">
        <v>24</v>
      </c>
      <c r="E514" t="s">
        <v>25</v>
      </c>
      <c r="F514" t="s">
        <v>29</v>
      </c>
      <c r="G514">
        <v>957.95</v>
      </c>
      <c r="H514">
        <v>1329.26</v>
      </c>
      <c r="I514">
        <v>15</v>
      </c>
      <c r="J514">
        <f t="shared" ref="J514:J577" si="34">(I514*H514)</f>
        <v>19938.900000000001</v>
      </c>
      <c r="K514">
        <f t="shared" ref="K514:K577" si="35">(H514-G514)*I514</f>
        <v>5569.65</v>
      </c>
      <c r="L514" t="s">
        <v>30</v>
      </c>
      <c r="M514" t="s">
        <v>18</v>
      </c>
      <c r="N514" t="s">
        <v>19</v>
      </c>
    </row>
    <row r="515" spans="1:14" x14ac:dyDescent="0.3">
      <c r="A515" s="1">
        <v>45114</v>
      </c>
      <c r="B515" s="1" t="str">
        <f t="shared" si="32"/>
        <v>Jul</v>
      </c>
      <c r="C515" s="1" t="str">
        <f t="shared" si="33"/>
        <v>2023</v>
      </c>
      <c r="D515" t="s">
        <v>33</v>
      </c>
      <c r="E515" t="s">
        <v>21</v>
      </c>
      <c r="F515" t="s">
        <v>26</v>
      </c>
      <c r="G515">
        <v>4127.54</v>
      </c>
      <c r="H515">
        <v>4495.13</v>
      </c>
      <c r="I515">
        <v>14</v>
      </c>
      <c r="J515">
        <f t="shared" si="34"/>
        <v>62931.82</v>
      </c>
      <c r="K515">
        <f t="shared" si="35"/>
        <v>5146.260000000002</v>
      </c>
      <c r="L515" t="s">
        <v>30</v>
      </c>
      <c r="M515" t="s">
        <v>27</v>
      </c>
      <c r="N515" t="s">
        <v>22</v>
      </c>
    </row>
    <row r="516" spans="1:14" x14ac:dyDescent="0.3">
      <c r="A516" s="1">
        <v>45114</v>
      </c>
      <c r="B516" s="1" t="str">
        <f t="shared" si="32"/>
        <v>Jul</v>
      </c>
      <c r="C516" s="1" t="str">
        <f t="shared" si="33"/>
        <v>2023</v>
      </c>
      <c r="D516" t="s">
        <v>42</v>
      </c>
      <c r="E516" t="s">
        <v>25</v>
      </c>
      <c r="F516" t="s">
        <v>16</v>
      </c>
      <c r="G516">
        <v>2559.65</v>
      </c>
      <c r="H516">
        <v>2709.4</v>
      </c>
      <c r="I516">
        <v>14</v>
      </c>
      <c r="J516">
        <f t="shared" si="34"/>
        <v>37931.599999999999</v>
      </c>
      <c r="K516">
        <f t="shared" si="35"/>
        <v>2096.5</v>
      </c>
      <c r="L516" t="s">
        <v>17</v>
      </c>
      <c r="M516" t="s">
        <v>31</v>
      </c>
      <c r="N516" t="s">
        <v>22</v>
      </c>
    </row>
    <row r="517" spans="1:14" x14ac:dyDescent="0.3">
      <c r="A517" s="1">
        <v>45115</v>
      </c>
      <c r="B517" s="1" t="str">
        <f t="shared" si="32"/>
        <v>Jul</v>
      </c>
      <c r="C517" s="1" t="str">
        <f t="shared" si="33"/>
        <v>2023</v>
      </c>
      <c r="D517" t="s">
        <v>42</v>
      </c>
      <c r="E517" t="s">
        <v>34</v>
      </c>
      <c r="F517" t="s">
        <v>35</v>
      </c>
      <c r="G517">
        <v>1314</v>
      </c>
      <c r="H517">
        <v>1567.78</v>
      </c>
      <c r="I517">
        <v>23</v>
      </c>
      <c r="J517">
        <f t="shared" si="34"/>
        <v>36058.94</v>
      </c>
      <c r="K517">
        <f t="shared" si="35"/>
        <v>5836.94</v>
      </c>
      <c r="L517" t="s">
        <v>17</v>
      </c>
      <c r="M517" t="s">
        <v>31</v>
      </c>
      <c r="N517" t="s">
        <v>22</v>
      </c>
    </row>
    <row r="518" spans="1:14" x14ac:dyDescent="0.3">
      <c r="A518" s="1">
        <v>45116</v>
      </c>
      <c r="B518" s="1" t="str">
        <f t="shared" si="32"/>
        <v>Jul</v>
      </c>
      <c r="C518" s="1" t="str">
        <f t="shared" si="33"/>
        <v>2023</v>
      </c>
      <c r="D518" t="s">
        <v>24</v>
      </c>
      <c r="E518" t="s">
        <v>15</v>
      </c>
      <c r="F518" t="s">
        <v>26</v>
      </c>
      <c r="G518">
        <v>2564.35</v>
      </c>
      <c r="H518">
        <v>2765.79</v>
      </c>
      <c r="I518">
        <v>28</v>
      </c>
      <c r="J518">
        <f t="shared" si="34"/>
        <v>77442.12</v>
      </c>
      <c r="K518">
        <f t="shared" si="35"/>
        <v>5640.3200000000015</v>
      </c>
      <c r="L518" t="s">
        <v>17</v>
      </c>
      <c r="M518" t="s">
        <v>31</v>
      </c>
      <c r="N518" t="s">
        <v>19</v>
      </c>
    </row>
    <row r="519" spans="1:14" x14ac:dyDescent="0.3">
      <c r="A519" s="1">
        <v>45117</v>
      </c>
      <c r="B519" s="1" t="str">
        <f t="shared" si="32"/>
        <v>Jul</v>
      </c>
      <c r="C519" s="1" t="str">
        <f t="shared" si="33"/>
        <v>2023</v>
      </c>
      <c r="D519" t="s">
        <v>24</v>
      </c>
      <c r="E519" t="s">
        <v>15</v>
      </c>
      <c r="F519" t="s">
        <v>26</v>
      </c>
      <c r="G519">
        <v>4043.53</v>
      </c>
      <c r="H519">
        <v>4384.8500000000004</v>
      </c>
      <c r="I519">
        <v>36</v>
      </c>
      <c r="J519">
        <f t="shared" si="34"/>
        <v>157854.6</v>
      </c>
      <c r="K519">
        <f t="shared" si="35"/>
        <v>12287.520000000006</v>
      </c>
      <c r="L519" t="s">
        <v>30</v>
      </c>
      <c r="M519" t="s">
        <v>18</v>
      </c>
      <c r="N519" t="s">
        <v>19</v>
      </c>
    </row>
    <row r="520" spans="1:14" x14ac:dyDescent="0.3">
      <c r="A520" s="1">
        <v>45118</v>
      </c>
      <c r="B520" s="1" t="str">
        <f t="shared" si="32"/>
        <v>Jul</v>
      </c>
      <c r="C520" s="1" t="str">
        <f t="shared" si="33"/>
        <v>2023</v>
      </c>
      <c r="D520" t="s">
        <v>33</v>
      </c>
      <c r="E520" t="s">
        <v>21</v>
      </c>
      <c r="F520" t="s">
        <v>35</v>
      </c>
      <c r="G520">
        <v>2983.85</v>
      </c>
      <c r="H520">
        <v>3239.74</v>
      </c>
      <c r="I520">
        <v>40</v>
      </c>
      <c r="J520">
        <f t="shared" si="34"/>
        <v>129589.59999999999</v>
      </c>
      <c r="K520">
        <f t="shared" si="35"/>
        <v>10235.599999999995</v>
      </c>
      <c r="L520" t="s">
        <v>30</v>
      </c>
      <c r="M520" t="s">
        <v>31</v>
      </c>
      <c r="N520" t="s">
        <v>19</v>
      </c>
    </row>
    <row r="521" spans="1:14" x14ac:dyDescent="0.3">
      <c r="A521" s="1">
        <v>45118</v>
      </c>
      <c r="B521" s="1" t="str">
        <f t="shared" si="32"/>
        <v>Jul</v>
      </c>
      <c r="C521" s="1" t="str">
        <f t="shared" si="33"/>
        <v>2023</v>
      </c>
      <c r="D521" t="s">
        <v>38</v>
      </c>
      <c r="E521" t="s">
        <v>34</v>
      </c>
      <c r="F521" t="s">
        <v>35</v>
      </c>
      <c r="G521">
        <v>2595.42</v>
      </c>
      <c r="H521">
        <v>3083.06</v>
      </c>
      <c r="I521">
        <v>33</v>
      </c>
      <c r="J521">
        <f t="shared" si="34"/>
        <v>101740.98</v>
      </c>
      <c r="K521">
        <f t="shared" si="35"/>
        <v>16092.119999999995</v>
      </c>
      <c r="L521" t="s">
        <v>30</v>
      </c>
      <c r="M521" t="s">
        <v>31</v>
      </c>
      <c r="N521" t="s">
        <v>19</v>
      </c>
    </row>
    <row r="522" spans="1:14" x14ac:dyDescent="0.3">
      <c r="A522" s="1">
        <v>45119</v>
      </c>
      <c r="B522" s="1" t="str">
        <f t="shared" si="32"/>
        <v>Jul</v>
      </c>
      <c r="C522" s="1" t="str">
        <f t="shared" si="33"/>
        <v>2023</v>
      </c>
      <c r="D522" t="s">
        <v>42</v>
      </c>
      <c r="E522" t="s">
        <v>15</v>
      </c>
      <c r="F522" t="s">
        <v>26</v>
      </c>
      <c r="G522">
        <v>665.89</v>
      </c>
      <c r="H522">
        <v>944.79</v>
      </c>
      <c r="I522">
        <v>2</v>
      </c>
      <c r="J522">
        <f t="shared" si="34"/>
        <v>1889.58</v>
      </c>
      <c r="K522">
        <f t="shared" si="35"/>
        <v>557.79999999999995</v>
      </c>
      <c r="L522" t="s">
        <v>30</v>
      </c>
      <c r="M522" t="s">
        <v>31</v>
      </c>
      <c r="N522" t="s">
        <v>22</v>
      </c>
    </row>
    <row r="523" spans="1:14" x14ac:dyDescent="0.3">
      <c r="A523" s="1">
        <v>45119</v>
      </c>
      <c r="B523" s="1" t="str">
        <f t="shared" si="32"/>
        <v>Jul</v>
      </c>
      <c r="C523" s="1" t="str">
        <f t="shared" si="33"/>
        <v>2023</v>
      </c>
      <c r="D523" t="s">
        <v>38</v>
      </c>
      <c r="E523" t="s">
        <v>15</v>
      </c>
      <c r="F523" t="s">
        <v>16</v>
      </c>
      <c r="G523">
        <v>3850.99</v>
      </c>
      <c r="H523">
        <v>4045.3399999999901</v>
      </c>
      <c r="I523">
        <v>17</v>
      </c>
      <c r="J523">
        <f t="shared" si="34"/>
        <v>68770.779999999839</v>
      </c>
      <c r="K523">
        <f t="shared" si="35"/>
        <v>3303.9499999998361</v>
      </c>
      <c r="L523" t="s">
        <v>17</v>
      </c>
      <c r="M523" t="s">
        <v>31</v>
      </c>
      <c r="N523" t="s">
        <v>19</v>
      </c>
    </row>
    <row r="524" spans="1:14" x14ac:dyDescent="0.3">
      <c r="A524" s="1">
        <v>45119</v>
      </c>
      <c r="B524" s="1" t="str">
        <f t="shared" si="32"/>
        <v>Jul</v>
      </c>
      <c r="C524" s="1" t="str">
        <f t="shared" si="33"/>
        <v>2023</v>
      </c>
      <c r="D524" t="s">
        <v>38</v>
      </c>
      <c r="E524" t="s">
        <v>34</v>
      </c>
      <c r="F524" t="s">
        <v>35</v>
      </c>
      <c r="G524">
        <v>2703.97</v>
      </c>
      <c r="H524">
        <v>2796.8799999999901</v>
      </c>
      <c r="I524">
        <v>14</v>
      </c>
      <c r="J524">
        <f t="shared" si="34"/>
        <v>39156.319999999861</v>
      </c>
      <c r="K524">
        <f t="shared" si="35"/>
        <v>1300.7399999998643</v>
      </c>
      <c r="L524" t="s">
        <v>30</v>
      </c>
      <c r="M524" t="s">
        <v>27</v>
      </c>
      <c r="N524" t="s">
        <v>19</v>
      </c>
    </row>
    <row r="525" spans="1:14" x14ac:dyDescent="0.3">
      <c r="A525" s="1">
        <v>45120</v>
      </c>
      <c r="B525" s="1" t="str">
        <f t="shared" si="32"/>
        <v>Jul</v>
      </c>
      <c r="C525" s="1" t="str">
        <f t="shared" si="33"/>
        <v>2023</v>
      </c>
      <c r="D525" t="s">
        <v>38</v>
      </c>
      <c r="E525" t="s">
        <v>34</v>
      </c>
      <c r="F525" t="s">
        <v>29</v>
      </c>
      <c r="G525">
        <v>1067.83</v>
      </c>
      <c r="H525">
        <v>1189.22</v>
      </c>
      <c r="I525">
        <v>16</v>
      </c>
      <c r="J525">
        <f t="shared" si="34"/>
        <v>19027.52</v>
      </c>
      <c r="K525">
        <f t="shared" si="35"/>
        <v>1942.2400000000016</v>
      </c>
      <c r="L525" t="s">
        <v>17</v>
      </c>
      <c r="M525" t="s">
        <v>31</v>
      </c>
      <c r="N525" t="s">
        <v>22</v>
      </c>
    </row>
    <row r="526" spans="1:14" x14ac:dyDescent="0.3">
      <c r="A526" s="1">
        <v>45120</v>
      </c>
      <c r="B526" s="1" t="str">
        <f t="shared" si="32"/>
        <v>Jul</v>
      </c>
      <c r="C526" s="1" t="str">
        <f t="shared" si="33"/>
        <v>2023</v>
      </c>
      <c r="D526" t="s">
        <v>14</v>
      </c>
      <c r="E526" t="s">
        <v>21</v>
      </c>
      <c r="F526" t="s">
        <v>16</v>
      </c>
      <c r="G526">
        <v>4154.3</v>
      </c>
      <c r="H526">
        <v>4469.07</v>
      </c>
      <c r="I526">
        <v>43</v>
      </c>
      <c r="J526">
        <f t="shared" si="34"/>
        <v>192170.00999999998</v>
      </c>
      <c r="K526">
        <f t="shared" si="35"/>
        <v>13535.109999999979</v>
      </c>
      <c r="L526" t="s">
        <v>17</v>
      </c>
      <c r="M526" t="s">
        <v>18</v>
      </c>
      <c r="N526" t="s">
        <v>22</v>
      </c>
    </row>
    <row r="527" spans="1:14" x14ac:dyDescent="0.3">
      <c r="A527" s="1">
        <v>45120</v>
      </c>
      <c r="B527" s="1" t="str">
        <f t="shared" si="32"/>
        <v>Jul</v>
      </c>
      <c r="C527" s="1" t="str">
        <f t="shared" si="33"/>
        <v>2023</v>
      </c>
      <c r="D527" t="s">
        <v>42</v>
      </c>
      <c r="E527" t="s">
        <v>25</v>
      </c>
      <c r="F527" t="s">
        <v>26</v>
      </c>
      <c r="G527">
        <v>4429.8</v>
      </c>
      <c r="H527">
        <v>4694.21</v>
      </c>
      <c r="I527">
        <v>47</v>
      </c>
      <c r="J527">
        <f t="shared" si="34"/>
        <v>220627.87</v>
      </c>
      <c r="K527">
        <f t="shared" si="35"/>
        <v>12427.269999999993</v>
      </c>
      <c r="L527" t="s">
        <v>30</v>
      </c>
      <c r="M527" t="s">
        <v>27</v>
      </c>
      <c r="N527" t="s">
        <v>19</v>
      </c>
    </row>
    <row r="528" spans="1:14" x14ac:dyDescent="0.3">
      <c r="A528" s="1">
        <v>45121</v>
      </c>
      <c r="B528" s="1" t="str">
        <f t="shared" si="32"/>
        <v>Jul</v>
      </c>
      <c r="C528" s="1" t="str">
        <f t="shared" si="33"/>
        <v>2023</v>
      </c>
      <c r="D528" t="s">
        <v>14</v>
      </c>
      <c r="E528" t="s">
        <v>25</v>
      </c>
      <c r="F528" t="s">
        <v>26</v>
      </c>
      <c r="G528">
        <v>3240.2</v>
      </c>
      <c r="H528">
        <v>3606.0899999999901</v>
      </c>
      <c r="I528">
        <v>22</v>
      </c>
      <c r="J528">
        <f t="shared" si="34"/>
        <v>79333.979999999778</v>
      </c>
      <c r="K528">
        <f t="shared" si="35"/>
        <v>8049.5799999997871</v>
      </c>
      <c r="L528" t="s">
        <v>30</v>
      </c>
      <c r="M528" t="s">
        <v>18</v>
      </c>
      <c r="N528" t="s">
        <v>19</v>
      </c>
    </row>
    <row r="529" spans="1:14" x14ac:dyDescent="0.3">
      <c r="A529" s="1">
        <v>45121</v>
      </c>
      <c r="B529" s="1" t="str">
        <f t="shared" si="32"/>
        <v>Jul</v>
      </c>
      <c r="C529" s="1" t="str">
        <f t="shared" si="33"/>
        <v>2023</v>
      </c>
      <c r="D529" t="s">
        <v>14</v>
      </c>
      <c r="E529" t="s">
        <v>34</v>
      </c>
      <c r="F529" t="s">
        <v>29</v>
      </c>
      <c r="G529">
        <v>4929.7299999999996</v>
      </c>
      <c r="H529">
        <v>5088.0199999999904</v>
      </c>
      <c r="I529">
        <v>39</v>
      </c>
      <c r="J529">
        <f t="shared" si="34"/>
        <v>198432.77999999962</v>
      </c>
      <c r="K529">
        <f t="shared" si="35"/>
        <v>6173.3099999996439</v>
      </c>
      <c r="L529" t="s">
        <v>30</v>
      </c>
      <c r="M529" t="s">
        <v>27</v>
      </c>
      <c r="N529" t="s">
        <v>22</v>
      </c>
    </row>
    <row r="530" spans="1:14" x14ac:dyDescent="0.3">
      <c r="A530" s="1">
        <v>45121</v>
      </c>
      <c r="B530" s="1" t="str">
        <f t="shared" si="32"/>
        <v>Jul</v>
      </c>
      <c r="C530" s="1" t="str">
        <f t="shared" si="33"/>
        <v>2023</v>
      </c>
      <c r="D530" t="s">
        <v>38</v>
      </c>
      <c r="E530" t="s">
        <v>15</v>
      </c>
      <c r="F530" t="s">
        <v>29</v>
      </c>
      <c r="G530">
        <v>2530.15</v>
      </c>
      <c r="H530">
        <v>2568.13</v>
      </c>
      <c r="I530">
        <v>16</v>
      </c>
      <c r="J530">
        <f t="shared" si="34"/>
        <v>41090.080000000002</v>
      </c>
      <c r="K530">
        <f t="shared" si="35"/>
        <v>607.68000000000029</v>
      </c>
      <c r="L530" t="s">
        <v>30</v>
      </c>
      <c r="M530" t="s">
        <v>31</v>
      </c>
      <c r="N530" t="s">
        <v>19</v>
      </c>
    </row>
    <row r="531" spans="1:14" x14ac:dyDescent="0.3">
      <c r="A531" s="1">
        <v>45122</v>
      </c>
      <c r="B531" s="1" t="str">
        <f t="shared" si="32"/>
        <v>Jul</v>
      </c>
      <c r="C531" s="1" t="str">
        <f t="shared" si="33"/>
        <v>2023</v>
      </c>
      <c r="D531" t="s">
        <v>24</v>
      </c>
      <c r="E531" t="s">
        <v>15</v>
      </c>
      <c r="F531" t="s">
        <v>35</v>
      </c>
      <c r="G531">
        <v>1771.52</v>
      </c>
      <c r="H531">
        <v>2147.8000000000002</v>
      </c>
      <c r="I531">
        <v>23</v>
      </c>
      <c r="J531">
        <f t="shared" si="34"/>
        <v>49399.4</v>
      </c>
      <c r="K531">
        <f t="shared" si="35"/>
        <v>8654.4400000000041</v>
      </c>
      <c r="L531" t="s">
        <v>30</v>
      </c>
      <c r="M531" t="s">
        <v>27</v>
      </c>
      <c r="N531" t="s">
        <v>19</v>
      </c>
    </row>
    <row r="532" spans="1:14" x14ac:dyDescent="0.3">
      <c r="A532" s="1">
        <v>45122</v>
      </c>
      <c r="B532" s="1" t="str">
        <f t="shared" si="32"/>
        <v>Jul</v>
      </c>
      <c r="C532" s="1" t="str">
        <f t="shared" si="33"/>
        <v>2023</v>
      </c>
      <c r="D532" t="s">
        <v>33</v>
      </c>
      <c r="E532" t="s">
        <v>34</v>
      </c>
      <c r="F532" t="s">
        <v>26</v>
      </c>
      <c r="G532">
        <v>3002.35</v>
      </c>
      <c r="H532">
        <v>3080.61</v>
      </c>
      <c r="I532">
        <v>48</v>
      </c>
      <c r="J532">
        <f t="shared" si="34"/>
        <v>147869.28</v>
      </c>
      <c r="K532">
        <f t="shared" si="35"/>
        <v>3756.4800000000105</v>
      </c>
      <c r="L532" t="s">
        <v>17</v>
      </c>
      <c r="M532" t="s">
        <v>27</v>
      </c>
      <c r="N532" t="s">
        <v>22</v>
      </c>
    </row>
    <row r="533" spans="1:14" x14ac:dyDescent="0.3">
      <c r="A533" s="1">
        <v>45123</v>
      </c>
      <c r="B533" s="1" t="str">
        <f t="shared" si="32"/>
        <v>Jul</v>
      </c>
      <c r="C533" s="1" t="str">
        <f t="shared" si="33"/>
        <v>2023</v>
      </c>
      <c r="D533" t="s">
        <v>42</v>
      </c>
      <c r="E533" t="s">
        <v>25</v>
      </c>
      <c r="F533" t="s">
        <v>16</v>
      </c>
      <c r="G533">
        <v>1069.73</v>
      </c>
      <c r="H533">
        <v>1180.04</v>
      </c>
      <c r="I533">
        <v>18</v>
      </c>
      <c r="J533">
        <f t="shared" si="34"/>
        <v>21240.720000000001</v>
      </c>
      <c r="K533">
        <f t="shared" si="35"/>
        <v>1985.579999999999</v>
      </c>
      <c r="L533" t="s">
        <v>17</v>
      </c>
      <c r="M533" t="s">
        <v>27</v>
      </c>
      <c r="N533" t="s">
        <v>19</v>
      </c>
    </row>
    <row r="534" spans="1:14" x14ac:dyDescent="0.3">
      <c r="A534" s="1">
        <v>45124</v>
      </c>
      <c r="B534" s="1" t="str">
        <f t="shared" si="32"/>
        <v>Jul</v>
      </c>
      <c r="C534" s="1" t="str">
        <f t="shared" si="33"/>
        <v>2023</v>
      </c>
      <c r="D534" t="s">
        <v>38</v>
      </c>
      <c r="E534" t="s">
        <v>21</v>
      </c>
      <c r="F534" t="s">
        <v>35</v>
      </c>
      <c r="G534">
        <v>1729.14</v>
      </c>
      <c r="H534">
        <v>1870.88</v>
      </c>
      <c r="I534">
        <v>15</v>
      </c>
      <c r="J534">
        <f t="shared" si="34"/>
        <v>28063.200000000001</v>
      </c>
      <c r="K534">
        <f t="shared" si="35"/>
        <v>2126.1000000000004</v>
      </c>
      <c r="L534" t="s">
        <v>17</v>
      </c>
      <c r="M534" t="s">
        <v>18</v>
      </c>
      <c r="N534" t="s">
        <v>19</v>
      </c>
    </row>
    <row r="535" spans="1:14" x14ac:dyDescent="0.3">
      <c r="A535" s="1">
        <v>45124</v>
      </c>
      <c r="B535" s="1" t="str">
        <f t="shared" si="32"/>
        <v>Jul</v>
      </c>
      <c r="C535" s="1" t="str">
        <f t="shared" si="33"/>
        <v>2023</v>
      </c>
      <c r="D535" t="s">
        <v>24</v>
      </c>
      <c r="E535" t="s">
        <v>25</v>
      </c>
      <c r="F535" t="s">
        <v>29</v>
      </c>
      <c r="G535">
        <v>1614.19</v>
      </c>
      <c r="H535">
        <v>1882.79</v>
      </c>
      <c r="I535">
        <v>14</v>
      </c>
      <c r="J535">
        <f t="shared" si="34"/>
        <v>26359.059999999998</v>
      </c>
      <c r="K535">
        <f t="shared" si="35"/>
        <v>3760.3999999999987</v>
      </c>
      <c r="L535" t="s">
        <v>30</v>
      </c>
      <c r="M535" t="s">
        <v>31</v>
      </c>
      <c r="N535" t="s">
        <v>22</v>
      </c>
    </row>
    <row r="536" spans="1:14" x14ac:dyDescent="0.3">
      <c r="A536" s="1">
        <v>45124</v>
      </c>
      <c r="B536" s="1" t="str">
        <f t="shared" si="32"/>
        <v>Jul</v>
      </c>
      <c r="C536" s="1" t="str">
        <f t="shared" si="33"/>
        <v>2023</v>
      </c>
      <c r="D536" t="s">
        <v>24</v>
      </c>
      <c r="E536" t="s">
        <v>21</v>
      </c>
      <c r="F536" t="s">
        <v>29</v>
      </c>
      <c r="G536">
        <v>3049.33</v>
      </c>
      <c r="H536">
        <v>3209.22</v>
      </c>
      <c r="I536">
        <v>19</v>
      </c>
      <c r="J536">
        <f t="shared" si="34"/>
        <v>60975.179999999993</v>
      </c>
      <c r="K536">
        <f t="shared" si="35"/>
        <v>3037.9099999999976</v>
      </c>
      <c r="L536" t="s">
        <v>17</v>
      </c>
      <c r="M536" t="s">
        <v>18</v>
      </c>
      <c r="N536" t="s">
        <v>19</v>
      </c>
    </row>
    <row r="537" spans="1:14" x14ac:dyDescent="0.3">
      <c r="A537" s="1">
        <v>45124</v>
      </c>
      <c r="B537" s="1" t="str">
        <f t="shared" si="32"/>
        <v>Jul</v>
      </c>
      <c r="C537" s="1" t="str">
        <f t="shared" si="33"/>
        <v>2023</v>
      </c>
      <c r="D537" t="s">
        <v>33</v>
      </c>
      <c r="E537" t="s">
        <v>15</v>
      </c>
      <c r="F537" t="s">
        <v>29</v>
      </c>
      <c r="G537">
        <v>845.14</v>
      </c>
      <c r="H537">
        <v>1001.77</v>
      </c>
      <c r="I537">
        <v>31</v>
      </c>
      <c r="J537">
        <f t="shared" si="34"/>
        <v>31054.87</v>
      </c>
      <c r="K537">
        <f t="shared" si="35"/>
        <v>4855.53</v>
      </c>
      <c r="L537" t="s">
        <v>30</v>
      </c>
      <c r="M537" t="s">
        <v>18</v>
      </c>
      <c r="N537" t="s">
        <v>19</v>
      </c>
    </row>
    <row r="538" spans="1:14" x14ac:dyDescent="0.3">
      <c r="A538" s="1">
        <v>45124</v>
      </c>
      <c r="B538" s="1" t="str">
        <f t="shared" si="32"/>
        <v>Jul</v>
      </c>
      <c r="C538" s="1" t="str">
        <f t="shared" si="33"/>
        <v>2023</v>
      </c>
      <c r="D538" t="s">
        <v>24</v>
      </c>
      <c r="E538" t="s">
        <v>15</v>
      </c>
      <c r="F538" t="s">
        <v>35</v>
      </c>
      <c r="G538">
        <v>1350.47</v>
      </c>
      <c r="H538">
        <v>1514.61</v>
      </c>
      <c r="I538">
        <v>14</v>
      </c>
      <c r="J538">
        <f t="shared" si="34"/>
        <v>21204.539999999997</v>
      </c>
      <c r="K538">
        <f t="shared" si="35"/>
        <v>2297.9599999999982</v>
      </c>
      <c r="L538" t="s">
        <v>30</v>
      </c>
      <c r="M538" t="s">
        <v>31</v>
      </c>
      <c r="N538" t="s">
        <v>22</v>
      </c>
    </row>
    <row r="539" spans="1:14" x14ac:dyDescent="0.3">
      <c r="A539" s="1">
        <v>45125</v>
      </c>
      <c r="B539" s="1" t="str">
        <f t="shared" si="32"/>
        <v>Jul</v>
      </c>
      <c r="C539" s="1" t="str">
        <f t="shared" si="33"/>
        <v>2023</v>
      </c>
      <c r="D539" t="s">
        <v>42</v>
      </c>
      <c r="E539" t="s">
        <v>15</v>
      </c>
      <c r="F539" t="s">
        <v>29</v>
      </c>
      <c r="G539">
        <v>4745.18</v>
      </c>
      <c r="H539">
        <v>5145.88</v>
      </c>
      <c r="I539">
        <v>12</v>
      </c>
      <c r="J539">
        <f t="shared" si="34"/>
        <v>61750.559999999998</v>
      </c>
      <c r="K539">
        <f t="shared" si="35"/>
        <v>4808.3999999999978</v>
      </c>
      <c r="L539" t="s">
        <v>17</v>
      </c>
      <c r="M539" t="s">
        <v>31</v>
      </c>
      <c r="N539" t="s">
        <v>19</v>
      </c>
    </row>
    <row r="540" spans="1:14" x14ac:dyDescent="0.3">
      <c r="A540" s="1">
        <v>45125</v>
      </c>
      <c r="B540" s="1" t="str">
        <f t="shared" si="32"/>
        <v>Jul</v>
      </c>
      <c r="C540" s="1" t="str">
        <f t="shared" si="33"/>
        <v>2023</v>
      </c>
      <c r="D540" t="s">
        <v>38</v>
      </c>
      <c r="E540" t="s">
        <v>25</v>
      </c>
      <c r="F540" t="s">
        <v>16</v>
      </c>
      <c r="G540">
        <v>4834.47</v>
      </c>
      <c r="H540">
        <v>4973.38</v>
      </c>
      <c r="I540">
        <v>43</v>
      </c>
      <c r="J540">
        <f t="shared" si="34"/>
        <v>213855.34</v>
      </c>
      <c r="K540">
        <f t="shared" si="35"/>
        <v>5973.1299999999937</v>
      </c>
      <c r="L540" t="s">
        <v>17</v>
      </c>
      <c r="M540" t="s">
        <v>27</v>
      </c>
      <c r="N540" t="s">
        <v>19</v>
      </c>
    </row>
    <row r="541" spans="1:14" x14ac:dyDescent="0.3">
      <c r="A541" s="1">
        <v>45125</v>
      </c>
      <c r="B541" s="1" t="str">
        <f t="shared" si="32"/>
        <v>Jul</v>
      </c>
      <c r="C541" s="1" t="str">
        <f t="shared" si="33"/>
        <v>2023</v>
      </c>
      <c r="D541" t="s">
        <v>38</v>
      </c>
      <c r="E541" t="s">
        <v>25</v>
      </c>
      <c r="F541" t="s">
        <v>35</v>
      </c>
      <c r="G541">
        <v>417.96</v>
      </c>
      <c r="H541">
        <v>907.63</v>
      </c>
      <c r="I541">
        <v>42</v>
      </c>
      <c r="J541">
        <f t="shared" si="34"/>
        <v>38120.46</v>
      </c>
      <c r="K541">
        <f t="shared" si="35"/>
        <v>20566.14</v>
      </c>
      <c r="L541" t="s">
        <v>30</v>
      </c>
      <c r="M541" t="s">
        <v>18</v>
      </c>
      <c r="N541" t="s">
        <v>22</v>
      </c>
    </row>
    <row r="542" spans="1:14" x14ac:dyDescent="0.3">
      <c r="A542" s="1">
        <v>45126</v>
      </c>
      <c r="B542" s="1" t="str">
        <f t="shared" si="32"/>
        <v>Jul</v>
      </c>
      <c r="C542" s="1" t="str">
        <f t="shared" si="33"/>
        <v>2023</v>
      </c>
      <c r="D542" t="s">
        <v>33</v>
      </c>
      <c r="E542" t="s">
        <v>15</v>
      </c>
      <c r="F542" t="s">
        <v>35</v>
      </c>
      <c r="G542">
        <v>2940.4</v>
      </c>
      <c r="H542">
        <v>3054.79</v>
      </c>
      <c r="I542">
        <v>10</v>
      </c>
      <c r="J542">
        <f t="shared" si="34"/>
        <v>30547.9</v>
      </c>
      <c r="K542">
        <f t="shared" si="35"/>
        <v>1143.8999999999987</v>
      </c>
      <c r="L542" t="s">
        <v>17</v>
      </c>
      <c r="M542" t="s">
        <v>31</v>
      </c>
      <c r="N542" t="s">
        <v>19</v>
      </c>
    </row>
    <row r="543" spans="1:14" x14ac:dyDescent="0.3">
      <c r="A543" s="1">
        <v>45126</v>
      </c>
      <c r="B543" s="1" t="str">
        <f t="shared" si="32"/>
        <v>Jul</v>
      </c>
      <c r="C543" s="1" t="str">
        <f t="shared" si="33"/>
        <v>2023</v>
      </c>
      <c r="D543" t="s">
        <v>33</v>
      </c>
      <c r="E543" t="s">
        <v>21</v>
      </c>
      <c r="F543" t="s">
        <v>16</v>
      </c>
      <c r="G543">
        <v>2387.63</v>
      </c>
      <c r="H543">
        <v>2438.9699999999998</v>
      </c>
      <c r="I543">
        <v>10</v>
      </c>
      <c r="J543">
        <f t="shared" si="34"/>
        <v>24389.699999999997</v>
      </c>
      <c r="K543">
        <f t="shared" si="35"/>
        <v>513.39999999999691</v>
      </c>
      <c r="L543" t="s">
        <v>17</v>
      </c>
      <c r="M543" t="s">
        <v>27</v>
      </c>
      <c r="N543" t="s">
        <v>22</v>
      </c>
    </row>
    <row r="544" spans="1:14" x14ac:dyDescent="0.3">
      <c r="A544" s="1">
        <v>45127</v>
      </c>
      <c r="B544" s="1" t="str">
        <f t="shared" si="32"/>
        <v>Jul</v>
      </c>
      <c r="C544" s="1" t="str">
        <f t="shared" si="33"/>
        <v>2023</v>
      </c>
      <c r="D544" t="s">
        <v>38</v>
      </c>
      <c r="E544" t="s">
        <v>21</v>
      </c>
      <c r="F544" t="s">
        <v>16</v>
      </c>
      <c r="G544">
        <v>4111.7</v>
      </c>
      <c r="H544">
        <v>4537.9399999999996</v>
      </c>
      <c r="I544">
        <v>43</v>
      </c>
      <c r="J544">
        <f t="shared" si="34"/>
        <v>195131.41999999998</v>
      </c>
      <c r="K544">
        <f t="shared" si="35"/>
        <v>18328.319999999992</v>
      </c>
      <c r="L544" t="s">
        <v>17</v>
      </c>
      <c r="M544" t="s">
        <v>27</v>
      </c>
      <c r="N544" t="s">
        <v>19</v>
      </c>
    </row>
    <row r="545" spans="1:14" x14ac:dyDescent="0.3">
      <c r="A545" s="1">
        <v>45127</v>
      </c>
      <c r="B545" s="1" t="str">
        <f t="shared" si="32"/>
        <v>Jul</v>
      </c>
      <c r="C545" s="1" t="str">
        <f t="shared" si="33"/>
        <v>2023</v>
      </c>
      <c r="D545" t="s">
        <v>38</v>
      </c>
      <c r="E545" t="s">
        <v>15</v>
      </c>
      <c r="F545" t="s">
        <v>35</v>
      </c>
      <c r="G545">
        <v>1679.69</v>
      </c>
      <c r="H545">
        <v>1939.04</v>
      </c>
      <c r="I545">
        <v>48</v>
      </c>
      <c r="J545">
        <f t="shared" si="34"/>
        <v>93073.919999999998</v>
      </c>
      <c r="K545">
        <f t="shared" si="35"/>
        <v>12448.799999999996</v>
      </c>
      <c r="L545" t="s">
        <v>30</v>
      </c>
      <c r="M545" t="s">
        <v>31</v>
      </c>
      <c r="N545" t="s">
        <v>19</v>
      </c>
    </row>
    <row r="546" spans="1:14" x14ac:dyDescent="0.3">
      <c r="A546" s="1">
        <v>45127</v>
      </c>
      <c r="B546" s="1" t="str">
        <f t="shared" si="32"/>
        <v>Jul</v>
      </c>
      <c r="C546" s="1" t="str">
        <f t="shared" si="33"/>
        <v>2023</v>
      </c>
      <c r="D546" t="s">
        <v>14</v>
      </c>
      <c r="E546" t="s">
        <v>15</v>
      </c>
      <c r="F546" t="s">
        <v>26</v>
      </c>
      <c r="G546">
        <v>1057.27</v>
      </c>
      <c r="H546">
        <v>1366.62</v>
      </c>
      <c r="I546">
        <v>17</v>
      </c>
      <c r="J546">
        <f t="shared" si="34"/>
        <v>23232.539999999997</v>
      </c>
      <c r="K546">
        <f t="shared" si="35"/>
        <v>5258.9499999999989</v>
      </c>
      <c r="L546" t="s">
        <v>30</v>
      </c>
      <c r="M546" t="s">
        <v>31</v>
      </c>
      <c r="N546" t="s">
        <v>22</v>
      </c>
    </row>
    <row r="547" spans="1:14" x14ac:dyDescent="0.3">
      <c r="A547" s="1">
        <v>45128</v>
      </c>
      <c r="B547" s="1" t="str">
        <f t="shared" si="32"/>
        <v>Jul</v>
      </c>
      <c r="C547" s="1" t="str">
        <f t="shared" si="33"/>
        <v>2023</v>
      </c>
      <c r="D547" t="s">
        <v>24</v>
      </c>
      <c r="E547" t="s">
        <v>34</v>
      </c>
      <c r="F547" t="s">
        <v>26</v>
      </c>
      <c r="G547">
        <v>172.59</v>
      </c>
      <c r="H547">
        <v>404.69</v>
      </c>
      <c r="I547">
        <v>1</v>
      </c>
      <c r="J547">
        <f t="shared" si="34"/>
        <v>404.69</v>
      </c>
      <c r="K547">
        <f t="shared" si="35"/>
        <v>232.1</v>
      </c>
      <c r="L547" t="s">
        <v>17</v>
      </c>
      <c r="M547" t="s">
        <v>27</v>
      </c>
      <c r="N547" t="s">
        <v>19</v>
      </c>
    </row>
    <row r="548" spans="1:14" x14ac:dyDescent="0.3">
      <c r="A548" s="1">
        <v>45128</v>
      </c>
      <c r="B548" s="1" t="str">
        <f t="shared" si="32"/>
        <v>Jul</v>
      </c>
      <c r="C548" s="1" t="str">
        <f t="shared" si="33"/>
        <v>2023</v>
      </c>
      <c r="D548" t="s">
        <v>38</v>
      </c>
      <c r="E548" t="s">
        <v>15</v>
      </c>
      <c r="F548" t="s">
        <v>29</v>
      </c>
      <c r="G548">
        <v>1532.8</v>
      </c>
      <c r="H548">
        <v>1619.69</v>
      </c>
      <c r="I548">
        <v>4</v>
      </c>
      <c r="J548">
        <f t="shared" si="34"/>
        <v>6478.76</v>
      </c>
      <c r="K548">
        <f t="shared" si="35"/>
        <v>347.5600000000004</v>
      </c>
      <c r="L548" t="s">
        <v>17</v>
      </c>
      <c r="M548" t="s">
        <v>27</v>
      </c>
      <c r="N548" t="s">
        <v>22</v>
      </c>
    </row>
    <row r="549" spans="1:14" x14ac:dyDescent="0.3">
      <c r="A549" s="1">
        <v>45128</v>
      </c>
      <c r="B549" s="1" t="str">
        <f t="shared" si="32"/>
        <v>Jul</v>
      </c>
      <c r="C549" s="1" t="str">
        <f t="shared" si="33"/>
        <v>2023</v>
      </c>
      <c r="D549" t="s">
        <v>14</v>
      </c>
      <c r="E549" t="s">
        <v>34</v>
      </c>
      <c r="F549" t="s">
        <v>35</v>
      </c>
      <c r="G549">
        <v>975.31</v>
      </c>
      <c r="H549">
        <v>1176.17</v>
      </c>
      <c r="I549">
        <v>32</v>
      </c>
      <c r="J549">
        <f t="shared" si="34"/>
        <v>37637.440000000002</v>
      </c>
      <c r="K549">
        <f t="shared" si="35"/>
        <v>6427.5200000000041</v>
      </c>
      <c r="L549" t="s">
        <v>30</v>
      </c>
      <c r="M549" t="s">
        <v>27</v>
      </c>
      <c r="N549" t="s">
        <v>22</v>
      </c>
    </row>
    <row r="550" spans="1:14" x14ac:dyDescent="0.3">
      <c r="A550" s="1">
        <v>45128</v>
      </c>
      <c r="B550" s="1" t="str">
        <f t="shared" si="32"/>
        <v>Jul</v>
      </c>
      <c r="C550" s="1" t="str">
        <f t="shared" si="33"/>
        <v>2023</v>
      </c>
      <c r="D550" t="s">
        <v>33</v>
      </c>
      <c r="E550" t="s">
        <v>34</v>
      </c>
      <c r="F550" t="s">
        <v>16</v>
      </c>
      <c r="G550">
        <v>868.83</v>
      </c>
      <c r="H550">
        <v>1177.75</v>
      </c>
      <c r="I550">
        <v>4</v>
      </c>
      <c r="J550">
        <f t="shared" si="34"/>
        <v>4711</v>
      </c>
      <c r="K550">
        <f t="shared" si="35"/>
        <v>1235.6799999999998</v>
      </c>
      <c r="L550" t="s">
        <v>17</v>
      </c>
      <c r="M550" t="s">
        <v>31</v>
      </c>
      <c r="N550" t="s">
        <v>22</v>
      </c>
    </row>
    <row r="551" spans="1:14" x14ac:dyDescent="0.3">
      <c r="A551" s="1">
        <v>45129</v>
      </c>
      <c r="B551" s="1" t="str">
        <f t="shared" si="32"/>
        <v>Jul</v>
      </c>
      <c r="C551" s="1" t="str">
        <f t="shared" si="33"/>
        <v>2023</v>
      </c>
      <c r="D551" t="s">
        <v>42</v>
      </c>
      <c r="E551" t="s">
        <v>34</v>
      </c>
      <c r="F551" t="s">
        <v>29</v>
      </c>
      <c r="G551">
        <v>3120.19</v>
      </c>
      <c r="H551">
        <v>3600.14</v>
      </c>
      <c r="I551">
        <v>42</v>
      </c>
      <c r="J551">
        <f t="shared" si="34"/>
        <v>151205.88</v>
      </c>
      <c r="K551">
        <f t="shared" si="35"/>
        <v>20157.899999999994</v>
      </c>
      <c r="L551" t="s">
        <v>17</v>
      </c>
      <c r="M551" t="s">
        <v>31</v>
      </c>
      <c r="N551" t="s">
        <v>22</v>
      </c>
    </row>
    <row r="552" spans="1:14" x14ac:dyDescent="0.3">
      <c r="A552" s="1">
        <v>45130</v>
      </c>
      <c r="B552" s="1" t="str">
        <f t="shared" si="32"/>
        <v>Jul</v>
      </c>
      <c r="C552" s="1" t="str">
        <f t="shared" si="33"/>
        <v>2023</v>
      </c>
      <c r="D552" t="s">
        <v>33</v>
      </c>
      <c r="E552" t="s">
        <v>21</v>
      </c>
      <c r="F552" t="s">
        <v>35</v>
      </c>
      <c r="G552">
        <v>4208.09</v>
      </c>
      <c r="H552">
        <v>4226.5600000000004</v>
      </c>
      <c r="I552">
        <v>26</v>
      </c>
      <c r="J552">
        <f t="shared" si="34"/>
        <v>109890.56000000001</v>
      </c>
      <c r="K552">
        <f t="shared" si="35"/>
        <v>480.22000000000662</v>
      </c>
      <c r="L552" t="s">
        <v>17</v>
      </c>
      <c r="M552" t="s">
        <v>18</v>
      </c>
      <c r="N552" t="s">
        <v>22</v>
      </c>
    </row>
    <row r="553" spans="1:14" x14ac:dyDescent="0.3">
      <c r="A553" s="1">
        <v>45130</v>
      </c>
      <c r="B553" s="1" t="str">
        <f t="shared" si="32"/>
        <v>Jul</v>
      </c>
      <c r="C553" s="1" t="str">
        <f t="shared" si="33"/>
        <v>2023</v>
      </c>
      <c r="D553" t="s">
        <v>14</v>
      </c>
      <c r="E553" t="s">
        <v>21</v>
      </c>
      <c r="F553" t="s">
        <v>16</v>
      </c>
      <c r="G553">
        <v>2344.9299999999998</v>
      </c>
      <c r="H553">
        <v>2707.25</v>
      </c>
      <c r="I553">
        <v>35</v>
      </c>
      <c r="J553">
        <f t="shared" si="34"/>
        <v>94753.75</v>
      </c>
      <c r="K553">
        <f t="shared" si="35"/>
        <v>12681.200000000006</v>
      </c>
      <c r="L553" t="s">
        <v>30</v>
      </c>
      <c r="M553" t="s">
        <v>31</v>
      </c>
      <c r="N553" t="s">
        <v>22</v>
      </c>
    </row>
    <row r="554" spans="1:14" x14ac:dyDescent="0.3">
      <c r="A554" s="1">
        <v>45131</v>
      </c>
      <c r="B554" s="1" t="str">
        <f t="shared" si="32"/>
        <v>Jul</v>
      </c>
      <c r="C554" s="1" t="str">
        <f t="shared" si="33"/>
        <v>2023</v>
      </c>
      <c r="D554" t="s">
        <v>42</v>
      </c>
      <c r="E554" t="s">
        <v>25</v>
      </c>
      <c r="F554" t="s">
        <v>35</v>
      </c>
      <c r="G554">
        <v>4055.51</v>
      </c>
      <c r="H554">
        <v>4258.84</v>
      </c>
      <c r="I554">
        <v>19</v>
      </c>
      <c r="J554">
        <f t="shared" si="34"/>
        <v>80917.960000000006</v>
      </c>
      <c r="K554">
        <f t="shared" si="35"/>
        <v>3863.2699999999986</v>
      </c>
      <c r="L554" t="s">
        <v>17</v>
      </c>
      <c r="M554" t="s">
        <v>31</v>
      </c>
      <c r="N554" t="s">
        <v>19</v>
      </c>
    </row>
    <row r="555" spans="1:14" x14ac:dyDescent="0.3">
      <c r="A555" s="1">
        <v>45132</v>
      </c>
      <c r="B555" s="1" t="str">
        <f t="shared" si="32"/>
        <v>Jul</v>
      </c>
      <c r="C555" s="1" t="str">
        <f t="shared" si="33"/>
        <v>2023</v>
      </c>
      <c r="D555" t="s">
        <v>38</v>
      </c>
      <c r="E555" t="s">
        <v>21</v>
      </c>
      <c r="F555" t="s">
        <v>26</v>
      </c>
      <c r="G555">
        <v>2206.58</v>
      </c>
      <c r="H555">
        <v>2490.4699999999998</v>
      </c>
      <c r="I555">
        <v>5</v>
      </c>
      <c r="J555">
        <f t="shared" si="34"/>
        <v>12452.349999999999</v>
      </c>
      <c r="K555">
        <f t="shared" si="35"/>
        <v>1419.4499999999994</v>
      </c>
      <c r="L555" t="s">
        <v>30</v>
      </c>
      <c r="M555" t="s">
        <v>18</v>
      </c>
      <c r="N555" t="s">
        <v>19</v>
      </c>
    </row>
    <row r="556" spans="1:14" x14ac:dyDescent="0.3">
      <c r="A556" s="1">
        <v>45132</v>
      </c>
      <c r="B556" s="1" t="str">
        <f t="shared" si="32"/>
        <v>Jul</v>
      </c>
      <c r="C556" s="1" t="str">
        <f t="shared" si="33"/>
        <v>2023</v>
      </c>
      <c r="D556" t="s">
        <v>33</v>
      </c>
      <c r="E556" t="s">
        <v>34</v>
      </c>
      <c r="F556" t="s">
        <v>16</v>
      </c>
      <c r="G556">
        <v>3484.62</v>
      </c>
      <c r="H556">
        <v>3781.5499999999902</v>
      </c>
      <c r="I556">
        <v>19</v>
      </c>
      <c r="J556">
        <f t="shared" si="34"/>
        <v>71849.449999999808</v>
      </c>
      <c r="K556">
        <f t="shared" si="35"/>
        <v>5641.6699999998154</v>
      </c>
      <c r="L556" t="s">
        <v>17</v>
      </c>
      <c r="M556" t="s">
        <v>31</v>
      </c>
      <c r="N556" t="s">
        <v>22</v>
      </c>
    </row>
    <row r="557" spans="1:14" x14ac:dyDescent="0.3">
      <c r="A557" s="1">
        <v>45133</v>
      </c>
      <c r="B557" s="1" t="str">
        <f t="shared" si="32"/>
        <v>Jul</v>
      </c>
      <c r="C557" s="1" t="str">
        <f t="shared" si="33"/>
        <v>2023</v>
      </c>
      <c r="D557" t="s">
        <v>24</v>
      </c>
      <c r="E557" t="s">
        <v>15</v>
      </c>
      <c r="F557" t="s">
        <v>35</v>
      </c>
      <c r="G557">
        <v>4680.3500000000004</v>
      </c>
      <c r="H557">
        <v>4758.1099999999997</v>
      </c>
      <c r="I557">
        <v>9</v>
      </c>
      <c r="J557">
        <f t="shared" si="34"/>
        <v>42822.99</v>
      </c>
      <c r="K557">
        <f t="shared" si="35"/>
        <v>699.83999999999378</v>
      </c>
      <c r="L557" t="s">
        <v>17</v>
      </c>
      <c r="M557" t="s">
        <v>27</v>
      </c>
      <c r="N557" t="s">
        <v>19</v>
      </c>
    </row>
    <row r="558" spans="1:14" x14ac:dyDescent="0.3">
      <c r="A558" s="1">
        <v>45134</v>
      </c>
      <c r="B558" s="1" t="str">
        <f t="shared" si="32"/>
        <v>Jul</v>
      </c>
      <c r="C558" s="1" t="str">
        <f t="shared" si="33"/>
        <v>2023</v>
      </c>
      <c r="D558" t="s">
        <v>24</v>
      </c>
      <c r="E558" t="s">
        <v>25</v>
      </c>
      <c r="F558" t="s">
        <v>35</v>
      </c>
      <c r="G558">
        <v>987.74</v>
      </c>
      <c r="H558">
        <v>1462.19</v>
      </c>
      <c r="I558">
        <v>44</v>
      </c>
      <c r="J558">
        <f t="shared" si="34"/>
        <v>64336.36</v>
      </c>
      <c r="K558">
        <f t="shared" si="35"/>
        <v>20875.800000000003</v>
      </c>
      <c r="L558" t="s">
        <v>30</v>
      </c>
      <c r="M558" t="s">
        <v>27</v>
      </c>
      <c r="N558" t="s">
        <v>19</v>
      </c>
    </row>
    <row r="559" spans="1:14" x14ac:dyDescent="0.3">
      <c r="A559" s="1">
        <v>45134</v>
      </c>
      <c r="B559" s="1" t="str">
        <f t="shared" si="32"/>
        <v>Jul</v>
      </c>
      <c r="C559" s="1" t="str">
        <f t="shared" si="33"/>
        <v>2023</v>
      </c>
      <c r="D559" t="s">
        <v>38</v>
      </c>
      <c r="E559" t="s">
        <v>15</v>
      </c>
      <c r="F559" t="s">
        <v>29</v>
      </c>
      <c r="G559">
        <v>902.38</v>
      </c>
      <c r="H559">
        <v>1128.9100000000001</v>
      </c>
      <c r="I559">
        <v>3</v>
      </c>
      <c r="J559">
        <f t="shared" si="34"/>
        <v>3386.7300000000005</v>
      </c>
      <c r="K559">
        <f t="shared" si="35"/>
        <v>679.59000000000026</v>
      </c>
      <c r="L559" t="s">
        <v>30</v>
      </c>
      <c r="M559" t="s">
        <v>27</v>
      </c>
      <c r="N559" t="s">
        <v>22</v>
      </c>
    </row>
    <row r="560" spans="1:14" x14ac:dyDescent="0.3">
      <c r="A560" s="1">
        <v>45135</v>
      </c>
      <c r="B560" s="1" t="str">
        <f t="shared" si="32"/>
        <v>Jul</v>
      </c>
      <c r="C560" s="1" t="str">
        <f t="shared" si="33"/>
        <v>2023</v>
      </c>
      <c r="D560" t="s">
        <v>24</v>
      </c>
      <c r="E560" t="s">
        <v>21</v>
      </c>
      <c r="F560" t="s">
        <v>35</v>
      </c>
      <c r="G560">
        <v>1115.02</v>
      </c>
      <c r="H560">
        <v>1174.48</v>
      </c>
      <c r="I560">
        <v>37</v>
      </c>
      <c r="J560">
        <f t="shared" si="34"/>
        <v>43455.76</v>
      </c>
      <c r="K560">
        <f t="shared" si="35"/>
        <v>2200.0200000000013</v>
      </c>
      <c r="L560" t="s">
        <v>30</v>
      </c>
      <c r="M560" t="s">
        <v>31</v>
      </c>
      <c r="N560" t="s">
        <v>19</v>
      </c>
    </row>
    <row r="561" spans="1:14" x14ac:dyDescent="0.3">
      <c r="A561" s="1">
        <v>45135</v>
      </c>
      <c r="B561" s="1" t="str">
        <f t="shared" si="32"/>
        <v>Jul</v>
      </c>
      <c r="C561" s="1" t="str">
        <f t="shared" si="33"/>
        <v>2023</v>
      </c>
      <c r="D561" t="s">
        <v>24</v>
      </c>
      <c r="E561" t="s">
        <v>34</v>
      </c>
      <c r="F561" t="s">
        <v>29</v>
      </c>
      <c r="G561">
        <v>4622.1400000000003</v>
      </c>
      <c r="H561">
        <v>5122.07</v>
      </c>
      <c r="I561">
        <v>20</v>
      </c>
      <c r="J561">
        <f t="shared" si="34"/>
        <v>102441.4</v>
      </c>
      <c r="K561">
        <f t="shared" si="35"/>
        <v>9998.5999999999876</v>
      </c>
      <c r="L561" t="s">
        <v>30</v>
      </c>
      <c r="M561" t="s">
        <v>18</v>
      </c>
      <c r="N561" t="s">
        <v>22</v>
      </c>
    </row>
    <row r="562" spans="1:14" x14ac:dyDescent="0.3">
      <c r="A562" s="1">
        <v>45135</v>
      </c>
      <c r="B562" s="1" t="str">
        <f t="shared" si="32"/>
        <v>Jul</v>
      </c>
      <c r="C562" s="1" t="str">
        <f t="shared" si="33"/>
        <v>2023</v>
      </c>
      <c r="D562" t="s">
        <v>42</v>
      </c>
      <c r="E562" t="s">
        <v>34</v>
      </c>
      <c r="F562" t="s">
        <v>26</v>
      </c>
      <c r="G562">
        <v>3380.52</v>
      </c>
      <c r="H562">
        <v>3778.94</v>
      </c>
      <c r="I562">
        <v>48</v>
      </c>
      <c r="J562">
        <f t="shared" si="34"/>
        <v>181389.12</v>
      </c>
      <c r="K562">
        <f t="shared" si="35"/>
        <v>19124.160000000003</v>
      </c>
      <c r="L562" t="s">
        <v>17</v>
      </c>
      <c r="M562" t="s">
        <v>27</v>
      </c>
      <c r="N562" t="s">
        <v>19</v>
      </c>
    </row>
    <row r="563" spans="1:14" x14ac:dyDescent="0.3">
      <c r="A563" s="1">
        <v>45136</v>
      </c>
      <c r="B563" s="1" t="str">
        <f t="shared" si="32"/>
        <v>Jul</v>
      </c>
      <c r="C563" s="1" t="str">
        <f t="shared" si="33"/>
        <v>2023</v>
      </c>
      <c r="D563" t="s">
        <v>42</v>
      </c>
      <c r="E563" t="s">
        <v>15</v>
      </c>
      <c r="F563" t="s">
        <v>35</v>
      </c>
      <c r="G563">
        <v>1512.34</v>
      </c>
      <c r="H563">
        <v>1830.76</v>
      </c>
      <c r="I563">
        <v>47</v>
      </c>
      <c r="J563">
        <f t="shared" si="34"/>
        <v>86045.72</v>
      </c>
      <c r="K563">
        <f t="shared" si="35"/>
        <v>14965.740000000003</v>
      </c>
      <c r="L563" t="s">
        <v>30</v>
      </c>
      <c r="M563" t="s">
        <v>27</v>
      </c>
      <c r="N563" t="s">
        <v>19</v>
      </c>
    </row>
    <row r="564" spans="1:14" x14ac:dyDescent="0.3">
      <c r="A564" s="1">
        <v>45136</v>
      </c>
      <c r="B564" s="1" t="str">
        <f t="shared" si="32"/>
        <v>Jul</v>
      </c>
      <c r="C564" s="1" t="str">
        <f t="shared" si="33"/>
        <v>2023</v>
      </c>
      <c r="D564" t="s">
        <v>14</v>
      </c>
      <c r="E564" t="s">
        <v>25</v>
      </c>
      <c r="F564" t="s">
        <v>16</v>
      </c>
      <c r="G564">
        <v>4287.21</v>
      </c>
      <c r="H564">
        <v>4464.28</v>
      </c>
      <c r="I564">
        <v>16</v>
      </c>
      <c r="J564">
        <f t="shared" si="34"/>
        <v>71428.479999999996</v>
      </c>
      <c r="K564">
        <f t="shared" si="35"/>
        <v>2833.1199999999953</v>
      </c>
      <c r="L564" t="s">
        <v>17</v>
      </c>
      <c r="M564" t="s">
        <v>31</v>
      </c>
      <c r="N564" t="s">
        <v>22</v>
      </c>
    </row>
    <row r="565" spans="1:14" x14ac:dyDescent="0.3">
      <c r="A565" s="1">
        <v>45136</v>
      </c>
      <c r="B565" s="1" t="str">
        <f t="shared" si="32"/>
        <v>Jul</v>
      </c>
      <c r="C565" s="1" t="str">
        <f t="shared" si="33"/>
        <v>2023</v>
      </c>
      <c r="D565" t="s">
        <v>38</v>
      </c>
      <c r="E565" t="s">
        <v>34</v>
      </c>
      <c r="F565" t="s">
        <v>26</v>
      </c>
      <c r="G565">
        <v>1102.69</v>
      </c>
      <c r="H565">
        <v>1437.12</v>
      </c>
      <c r="I565">
        <v>46</v>
      </c>
      <c r="J565">
        <f t="shared" si="34"/>
        <v>66107.51999999999</v>
      </c>
      <c r="K565">
        <f t="shared" si="35"/>
        <v>15383.779999999992</v>
      </c>
      <c r="L565" t="s">
        <v>30</v>
      </c>
      <c r="M565" t="s">
        <v>31</v>
      </c>
      <c r="N565" t="s">
        <v>19</v>
      </c>
    </row>
    <row r="566" spans="1:14" x14ac:dyDescent="0.3">
      <c r="A566" s="1">
        <v>45136</v>
      </c>
      <c r="B566" s="1" t="str">
        <f t="shared" si="32"/>
        <v>Jul</v>
      </c>
      <c r="C566" s="1" t="str">
        <f t="shared" si="33"/>
        <v>2023</v>
      </c>
      <c r="D566" t="s">
        <v>33</v>
      </c>
      <c r="E566" t="s">
        <v>21</v>
      </c>
      <c r="F566" t="s">
        <v>35</v>
      </c>
      <c r="G566">
        <v>3955.66</v>
      </c>
      <c r="H566">
        <v>4270.59</v>
      </c>
      <c r="I566">
        <v>38</v>
      </c>
      <c r="J566">
        <f t="shared" si="34"/>
        <v>162282.42000000001</v>
      </c>
      <c r="K566">
        <f t="shared" si="35"/>
        <v>11967.340000000011</v>
      </c>
      <c r="L566" t="s">
        <v>17</v>
      </c>
      <c r="M566" t="s">
        <v>31</v>
      </c>
      <c r="N566" t="s">
        <v>19</v>
      </c>
    </row>
    <row r="567" spans="1:14" x14ac:dyDescent="0.3">
      <c r="A567" s="1">
        <v>45137</v>
      </c>
      <c r="B567" s="1" t="str">
        <f t="shared" si="32"/>
        <v>Jul</v>
      </c>
      <c r="C567" s="1" t="str">
        <f t="shared" si="33"/>
        <v>2023</v>
      </c>
      <c r="D567" t="s">
        <v>42</v>
      </c>
      <c r="E567" t="s">
        <v>15</v>
      </c>
      <c r="F567" t="s">
        <v>16</v>
      </c>
      <c r="G567">
        <v>1945.27</v>
      </c>
      <c r="H567">
        <v>2309.4299999999998</v>
      </c>
      <c r="I567">
        <v>6</v>
      </c>
      <c r="J567">
        <f t="shared" si="34"/>
        <v>13856.579999999998</v>
      </c>
      <c r="K567">
        <f t="shared" si="35"/>
        <v>2184.9599999999991</v>
      </c>
      <c r="L567" t="s">
        <v>30</v>
      </c>
      <c r="M567" t="s">
        <v>31</v>
      </c>
      <c r="N567" t="s">
        <v>19</v>
      </c>
    </row>
    <row r="568" spans="1:14" x14ac:dyDescent="0.3">
      <c r="A568" s="1">
        <v>45137</v>
      </c>
      <c r="B568" s="1" t="str">
        <f t="shared" si="32"/>
        <v>Jul</v>
      </c>
      <c r="C568" s="1" t="str">
        <f t="shared" si="33"/>
        <v>2023</v>
      </c>
      <c r="D568" t="s">
        <v>38</v>
      </c>
      <c r="E568" t="s">
        <v>34</v>
      </c>
      <c r="F568" t="s">
        <v>16</v>
      </c>
      <c r="G568">
        <v>4384.6400000000003</v>
      </c>
      <c r="H568">
        <v>4693.8999999999996</v>
      </c>
      <c r="I568">
        <v>1</v>
      </c>
      <c r="J568">
        <f t="shared" si="34"/>
        <v>4693.8999999999996</v>
      </c>
      <c r="K568">
        <f t="shared" si="35"/>
        <v>309.25999999999931</v>
      </c>
      <c r="L568" t="s">
        <v>30</v>
      </c>
      <c r="M568" t="s">
        <v>18</v>
      </c>
      <c r="N568" t="s">
        <v>22</v>
      </c>
    </row>
    <row r="569" spans="1:14" x14ac:dyDescent="0.3">
      <c r="A569" s="1">
        <v>45138</v>
      </c>
      <c r="B569" s="1" t="str">
        <f t="shared" si="32"/>
        <v>Jul</v>
      </c>
      <c r="C569" s="1" t="str">
        <f t="shared" si="33"/>
        <v>2023</v>
      </c>
      <c r="D569" t="s">
        <v>24</v>
      </c>
      <c r="E569" t="s">
        <v>34</v>
      </c>
      <c r="F569" t="s">
        <v>29</v>
      </c>
      <c r="G569">
        <v>4138.41</v>
      </c>
      <c r="H569">
        <v>4361.7</v>
      </c>
      <c r="I569">
        <v>21</v>
      </c>
      <c r="J569">
        <f t="shared" si="34"/>
        <v>91595.7</v>
      </c>
      <c r="K569">
        <f t="shared" si="35"/>
        <v>4689.0899999999992</v>
      </c>
      <c r="L569" t="s">
        <v>17</v>
      </c>
      <c r="M569" t="s">
        <v>31</v>
      </c>
      <c r="N569" t="s">
        <v>22</v>
      </c>
    </row>
    <row r="570" spans="1:14" x14ac:dyDescent="0.3">
      <c r="A570" s="1">
        <v>45139</v>
      </c>
      <c r="B570" s="1" t="str">
        <f t="shared" si="32"/>
        <v>Aug</v>
      </c>
      <c r="C570" s="1" t="str">
        <f t="shared" si="33"/>
        <v>2023</v>
      </c>
      <c r="D570" t="s">
        <v>38</v>
      </c>
      <c r="E570" t="s">
        <v>21</v>
      </c>
      <c r="F570" t="s">
        <v>29</v>
      </c>
      <c r="G570">
        <v>2919</v>
      </c>
      <c r="H570">
        <v>3125.01</v>
      </c>
      <c r="I570">
        <v>36</v>
      </c>
      <c r="J570">
        <f t="shared" si="34"/>
        <v>112500.36000000002</v>
      </c>
      <c r="K570">
        <f t="shared" si="35"/>
        <v>7416.3600000000079</v>
      </c>
      <c r="L570" t="s">
        <v>30</v>
      </c>
      <c r="M570" t="s">
        <v>18</v>
      </c>
      <c r="N570" t="s">
        <v>19</v>
      </c>
    </row>
    <row r="571" spans="1:14" x14ac:dyDescent="0.3">
      <c r="A571" s="1">
        <v>45139</v>
      </c>
      <c r="B571" s="1" t="str">
        <f t="shared" si="32"/>
        <v>Aug</v>
      </c>
      <c r="C571" s="1" t="str">
        <f t="shared" si="33"/>
        <v>2023</v>
      </c>
      <c r="D571" t="s">
        <v>14</v>
      </c>
      <c r="E571" t="s">
        <v>25</v>
      </c>
      <c r="F571" t="s">
        <v>35</v>
      </c>
      <c r="G571">
        <v>1046.26</v>
      </c>
      <c r="H571">
        <v>1475.29</v>
      </c>
      <c r="I571">
        <v>4</v>
      </c>
      <c r="J571">
        <f t="shared" si="34"/>
        <v>5901.16</v>
      </c>
      <c r="K571">
        <f t="shared" si="35"/>
        <v>1716.12</v>
      </c>
      <c r="L571" t="s">
        <v>17</v>
      </c>
      <c r="M571" t="s">
        <v>27</v>
      </c>
      <c r="N571" t="s">
        <v>22</v>
      </c>
    </row>
    <row r="572" spans="1:14" x14ac:dyDescent="0.3">
      <c r="A572" s="1">
        <v>45140</v>
      </c>
      <c r="B572" s="1" t="str">
        <f t="shared" si="32"/>
        <v>Aug</v>
      </c>
      <c r="C572" s="1" t="str">
        <f t="shared" si="33"/>
        <v>2023</v>
      </c>
      <c r="D572" t="s">
        <v>38</v>
      </c>
      <c r="E572" t="s">
        <v>25</v>
      </c>
      <c r="F572" t="s">
        <v>16</v>
      </c>
      <c r="G572">
        <v>4609.66</v>
      </c>
      <c r="H572">
        <v>4879.1499999999996</v>
      </c>
      <c r="I572">
        <v>46</v>
      </c>
      <c r="J572">
        <f t="shared" si="34"/>
        <v>224440.9</v>
      </c>
      <c r="K572">
        <f t="shared" si="35"/>
        <v>12396.53999999999</v>
      </c>
      <c r="L572" t="s">
        <v>17</v>
      </c>
      <c r="M572" t="s">
        <v>18</v>
      </c>
      <c r="N572" t="s">
        <v>22</v>
      </c>
    </row>
    <row r="573" spans="1:14" x14ac:dyDescent="0.3">
      <c r="A573" s="1">
        <v>45140</v>
      </c>
      <c r="B573" s="1" t="str">
        <f t="shared" si="32"/>
        <v>Aug</v>
      </c>
      <c r="C573" s="1" t="str">
        <f t="shared" si="33"/>
        <v>2023</v>
      </c>
      <c r="D573" t="s">
        <v>42</v>
      </c>
      <c r="E573" t="s">
        <v>34</v>
      </c>
      <c r="F573" t="s">
        <v>16</v>
      </c>
      <c r="G573">
        <v>3031.17</v>
      </c>
      <c r="H573">
        <v>3231.32</v>
      </c>
      <c r="I573">
        <v>43</v>
      </c>
      <c r="J573">
        <f t="shared" si="34"/>
        <v>138946.76</v>
      </c>
      <c r="K573">
        <f t="shared" si="35"/>
        <v>8606.4500000000044</v>
      </c>
      <c r="L573" t="s">
        <v>17</v>
      </c>
      <c r="M573" t="s">
        <v>18</v>
      </c>
      <c r="N573" t="s">
        <v>22</v>
      </c>
    </row>
    <row r="574" spans="1:14" x14ac:dyDescent="0.3">
      <c r="A574" s="1">
        <v>45140</v>
      </c>
      <c r="B574" s="1" t="str">
        <f t="shared" si="32"/>
        <v>Aug</v>
      </c>
      <c r="C574" s="1" t="str">
        <f t="shared" si="33"/>
        <v>2023</v>
      </c>
      <c r="D574" t="s">
        <v>14</v>
      </c>
      <c r="E574" t="s">
        <v>15</v>
      </c>
      <c r="F574" t="s">
        <v>35</v>
      </c>
      <c r="G574">
        <v>3969.86</v>
      </c>
      <c r="H574">
        <v>4281.79</v>
      </c>
      <c r="I574">
        <v>30</v>
      </c>
      <c r="J574">
        <f t="shared" si="34"/>
        <v>128453.7</v>
      </c>
      <c r="K574">
        <f t="shared" si="35"/>
        <v>9357.8999999999942</v>
      </c>
      <c r="L574" t="s">
        <v>17</v>
      </c>
      <c r="M574" t="s">
        <v>27</v>
      </c>
      <c r="N574" t="s">
        <v>22</v>
      </c>
    </row>
    <row r="575" spans="1:14" x14ac:dyDescent="0.3">
      <c r="A575" s="1">
        <v>45141</v>
      </c>
      <c r="B575" s="1" t="str">
        <f t="shared" si="32"/>
        <v>Aug</v>
      </c>
      <c r="C575" s="1" t="str">
        <f t="shared" si="33"/>
        <v>2023</v>
      </c>
      <c r="D575" t="s">
        <v>14</v>
      </c>
      <c r="E575" t="s">
        <v>21</v>
      </c>
      <c r="F575" t="s">
        <v>26</v>
      </c>
      <c r="G575">
        <v>2153.52</v>
      </c>
      <c r="H575">
        <v>2303.6999999999998</v>
      </c>
      <c r="I575">
        <v>20</v>
      </c>
      <c r="J575">
        <f t="shared" si="34"/>
        <v>46074</v>
      </c>
      <c r="K575">
        <f t="shared" si="35"/>
        <v>3003.5999999999967</v>
      </c>
      <c r="L575" t="s">
        <v>17</v>
      </c>
      <c r="M575" t="s">
        <v>18</v>
      </c>
      <c r="N575" t="s">
        <v>22</v>
      </c>
    </row>
    <row r="576" spans="1:14" x14ac:dyDescent="0.3">
      <c r="A576" s="1">
        <v>45141</v>
      </c>
      <c r="B576" s="1" t="str">
        <f t="shared" si="32"/>
        <v>Aug</v>
      </c>
      <c r="C576" s="1" t="str">
        <f t="shared" si="33"/>
        <v>2023</v>
      </c>
      <c r="D576" t="s">
        <v>42</v>
      </c>
      <c r="E576" t="s">
        <v>25</v>
      </c>
      <c r="F576" t="s">
        <v>16</v>
      </c>
      <c r="G576">
        <v>2872.4</v>
      </c>
      <c r="H576">
        <v>3193.76</v>
      </c>
      <c r="I576">
        <v>16</v>
      </c>
      <c r="J576">
        <f t="shared" si="34"/>
        <v>51100.160000000003</v>
      </c>
      <c r="K576">
        <f t="shared" si="35"/>
        <v>5141.760000000002</v>
      </c>
      <c r="L576" t="s">
        <v>17</v>
      </c>
      <c r="M576" t="s">
        <v>31</v>
      </c>
      <c r="N576" t="s">
        <v>19</v>
      </c>
    </row>
    <row r="577" spans="1:14" x14ac:dyDescent="0.3">
      <c r="A577" s="1">
        <v>45141</v>
      </c>
      <c r="B577" s="1" t="str">
        <f t="shared" si="32"/>
        <v>Aug</v>
      </c>
      <c r="C577" s="1" t="str">
        <f t="shared" si="33"/>
        <v>2023</v>
      </c>
      <c r="D577" t="s">
        <v>42</v>
      </c>
      <c r="E577" t="s">
        <v>21</v>
      </c>
      <c r="F577" t="s">
        <v>16</v>
      </c>
      <c r="G577">
        <v>4457.68</v>
      </c>
      <c r="H577">
        <v>4743.03</v>
      </c>
      <c r="I577">
        <v>16</v>
      </c>
      <c r="J577">
        <f t="shared" si="34"/>
        <v>75888.479999999996</v>
      </c>
      <c r="K577">
        <f t="shared" si="35"/>
        <v>4565.5999999999913</v>
      </c>
      <c r="L577" t="s">
        <v>17</v>
      </c>
      <c r="M577" t="s">
        <v>18</v>
      </c>
      <c r="N577" t="s">
        <v>19</v>
      </c>
    </row>
    <row r="578" spans="1:14" x14ac:dyDescent="0.3">
      <c r="A578" s="1">
        <v>45141</v>
      </c>
      <c r="B578" s="1" t="str">
        <f t="shared" ref="B578:B641" si="36">TEXT(A578,"MMM")</f>
        <v>Aug</v>
      </c>
      <c r="C578" s="1" t="str">
        <f t="shared" ref="C578:C641" si="37">TEXT(A578,"YYYY")</f>
        <v>2023</v>
      </c>
      <c r="D578" t="s">
        <v>24</v>
      </c>
      <c r="E578" t="s">
        <v>21</v>
      </c>
      <c r="F578" t="s">
        <v>26</v>
      </c>
      <c r="G578">
        <v>4692.24</v>
      </c>
      <c r="H578">
        <v>4825.92</v>
      </c>
      <c r="I578">
        <v>45</v>
      </c>
      <c r="J578">
        <f t="shared" ref="J578:J641" si="38">(I578*H578)</f>
        <v>217166.4</v>
      </c>
      <c r="K578">
        <f t="shared" ref="K578:K641" si="39">(H578-G578)*I578</f>
        <v>6015.6000000000131</v>
      </c>
      <c r="L578" t="s">
        <v>17</v>
      </c>
      <c r="M578" t="s">
        <v>27</v>
      </c>
      <c r="N578" t="s">
        <v>22</v>
      </c>
    </row>
    <row r="579" spans="1:14" x14ac:dyDescent="0.3">
      <c r="A579" s="1">
        <v>45141</v>
      </c>
      <c r="B579" s="1" t="str">
        <f t="shared" si="36"/>
        <v>Aug</v>
      </c>
      <c r="C579" s="1" t="str">
        <f t="shared" si="37"/>
        <v>2023</v>
      </c>
      <c r="D579" t="s">
        <v>42</v>
      </c>
      <c r="E579" t="s">
        <v>21</v>
      </c>
      <c r="F579" t="s">
        <v>26</v>
      </c>
      <c r="G579">
        <v>541.19000000000005</v>
      </c>
      <c r="H579">
        <v>595.20000000000005</v>
      </c>
      <c r="I579">
        <v>40</v>
      </c>
      <c r="J579">
        <f t="shared" si="38"/>
        <v>23808</v>
      </c>
      <c r="K579">
        <f t="shared" si="39"/>
        <v>2160.3999999999996</v>
      </c>
      <c r="L579" t="s">
        <v>17</v>
      </c>
      <c r="M579" t="s">
        <v>31</v>
      </c>
      <c r="N579" t="s">
        <v>19</v>
      </c>
    </row>
    <row r="580" spans="1:14" x14ac:dyDescent="0.3">
      <c r="A580" s="1">
        <v>45141</v>
      </c>
      <c r="B580" s="1" t="str">
        <f t="shared" si="36"/>
        <v>Aug</v>
      </c>
      <c r="C580" s="1" t="str">
        <f t="shared" si="37"/>
        <v>2023</v>
      </c>
      <c r="D580" t="s">
        <v>24</v>
      </c>
      <c r="E580" t="s">
        <v>34</v>
      </c>
      <c r="F580" t="s">
        <v>35</v>
      </c>
      <c r="G580">
        <v>4260</v>
      </c>
      <c r="H580">
        <v>4656.58</v>
      </c>
      <c r="I580">
        <v>22</v>
      </c>
      <c r="J580">
        <f t="shared" si="38"/>
        <v>102444.76</v>
      </c>
      <c r="K580">
        <f t="shared" si="39"/>
        <v>8724.7599999999984</v>
      </c>
      <c r="L580" t="s">
        <v>30</v>
      </c>
      <c r="M580" t="s">
        <v>27</v>
      </c>
      <c r="N580" t="s">
        <v>19</v>
      </c>
    </row>
    <row r="581" spans="1:14" x14ac:dyDescent="0.3">
      <c r="A581" s="1">
        <v>45142</v>
      </c>
      <c r="B581" s="1" t="str">
        <f t="shared" si="36"/>
        <v>Aug</v>
      </c>
      <c r="C581" s="1" t="str">
        <f t="shared" si="37"/>
        <v>2023</v>
      </c>
      <c r="D581" t="s">
        <v>24</v>
      </c>
      <c r="E581" t="s">
        <v>21</v>
      </c>
      <c r="F581" t="s">
        <v>26</v>
      </c>
      <c r="G581">
        <v>3279.76</v>
      </c>
      <c r="H581">
        <v>3563.97</v>
      </c>
      <c r="I581">
        <v>20</v>
      </c>
      <c r="J581">
        <f t="shared" si="38"/>
        <v>71279.399999999994</v>
      </c>
      <c r="K581">
        <f t="shared" si="39"/>
        <v>5684.1999999999916</v>
      </c>
      <c r="L581" t="s">
        <v>17</v>
      </c>
      <c r="M581" t="s">
        <v>18</v>
      </c>
      <c r="N581" t="s">
        <v>22</v>
      </c>
    </row>
    <row r="582" spans="1:14" x14ac:dyDescent="0.3">
      <c r="A582" s="1">
        <v>45142</v>
      </c>
      <c r="B582" s="1" t="str">
        <f t="shared" si="36"/>
        <v>Aug</v>
      </c>
      <c r="C582" s="1" t="str">
        <f t="shared" si="37"/>
        <v>2023</v>
      </c>
      <c r="D582" t="s">
        <v>42</v>
      </c>
      <c r="E582" t="s">
        <v>15</v>
      </c>
      <c r="F582" t="s">
        <v>29</v>
      </c>
      <c r="G582">
        <v>3350.32</v>
      </c>
      <c r="H582">
        <v>3449.94</v>
      </c>
      <c r="I582">
        <v>38</v>
      </c>
      <c r="J582">
        <f t="shared" si="38"/>
        <v>131097.72</v>
      </c>
      <c r="K582">
        <f t="shared" si="39"/>
        <v>3785.5599999999959</v>
      </c>
      <c r="L582" t="s">
        <v>30</v>
      </c>
      <c r="M582" t="s">
        <v>18</v>
      </c>
      <c r="N582" t="s">
        <v>19</v>
      </c>
    </row>
    <row r="583" spans="1:14" x14ac:dyDescent="0.3">
      <c r="A583" s="1">
        <v>45142</v>
      </c>
      <c r="B583" s="1" t="str">
        <f t="shared" si="36"/>
        <v>Aug</v>
      </c>
      <c r="C583" s="1" t="str">
        <f t="shared" si="37"/>
        <v>2023</v>
      </c>
      <c r="D583" t="s">
        <v>24</v>
      </c>
      <c r="E583" t="s">
        <v>25</v>
      </c>
      <c r="F583" t="s">
        <v>35</v>
      </c>
      <c r="G583">
        <v>3813.62</v>
      </c>
      <c r="H583">
        <v>3839.72</v>
      </c>
      <c r="I583">
        <v>30</v>
      </c>
      <c r="J583">
        <f t="shared" si="38"/>
        <v>115191.59999999999</v>
      </c>
      <c r="K583">
        <f t="shared" si="39"/>
        <v>782.99999999999727</v>
      </c>
      <c r="L583" t="s">
        <v>30</v>
      </c>
      <c r="M583" t="s">
        <v>31</v>
      </c>
      <c r="N583" t="s">
        <v>19</v>
      </c>
    </row>
    <row r="584" spans="1:14" x14ac:dyDescent="0.3">
      <c r="A584" s="1">
        <v>45142</v>
      </c>
      <c r="B584" s="1" t="str">
        <f t="shared" si="36"/>
        <v>Aug</v>
      </c>
      <c r="C584" s="1" t="str">
        <f t="shared" si="37"/>
        <v>2023</v>
      </c>
      <c r="D584" t="s">
        <v>38</v>
      </c>
      <c r="E584" t="s">
        <v>25</v>
      </c>
      <c r="F584" t="s">
        <v>29</v>
      </c>
      <c r="G584">
        <v>4729.59</v>
      </c>
      <c r="H584">
        <v>4976.68</v>
      </c>
      <c r="I584">
        <v>47</v>
      </c>
      <c r="J584">
        <f t="shared" si="38"/>
        <v>233903.96000000002</v>
      </c>
      <c r="K584">
        <f t="shared" si="39"/>
        <v>11613.230000000007</v>
      </c>
      <c r="L584" t="s">
        <v>17</v>
      </c>
      <c r="M584" t="s">
        <v>31</v>
      </c>
      <c r="N584" t="s">
        <v>22</v>
      </c>
    </row>
    <row r="585" spans="1:14" x14ac:dyDescent="0.3">
      <c r="A585" s="1">
        <v>45143</v>
      </c>
      <c r="B585" s="1" t="str">
        <f t="shared" si="36"/>
        <v>Aug</v>
      </c>
      <c r="C585" s="1" t="str">
        <f t="shared" si="37"/>
        <v>2023</v>
      </c>
      <c r="D585" t="s">
        <v>14</v>
      </c>
      <c r="E585" t="s">
        <v>15</v>
      </c>
      <c r="F585" t="s">
        <v>26</v>
      </c>
      <c r="G585">
        <v>1791.83</v>
      </c>
      <c r="H585">
        <v>1871.22</v>
      </c>
      <c r="I585">
        <v>4</v>
      </c>
      <c r="J585">
        <f t="shared" si="38"/>
        <v>7484.88</v>
      </c>
      <c r="K585">
        <f t="shared" si="39"/>
        <v>317.5600000000004</v>
      </c>
      <c r="L585" t="s">
        <v>17</v>
      </c>
      <c r="M585" t="s">
        <v>27</v>
      </c>
      <c r="N585" t="s">
        <v>19</v>
      </c>
    </row>
    <row r="586" spans="1:14" x14ac:dyDescent="0.3">
      <c r="A586" s="1">
        <v>45143</v>
      </c>
      <c r="B586" s="1" t="str">
        <f t="shared" si="36"/>
        <v>Aug</v>
      </c>
      <c r="C586" s="1" t="str">
        <f t="shared" si="37"/>
        <v>2023</v>
      </c>
      <c r="D586" t="s">
        <v>14</v>
      </c>
      <c r="E586" t="s">
        <v>21</v>
      </c>
      <c r="F586" t="s">
        <v>35</v>
      </c>
      <c r="G586">
        <v>3125.07</v>
      </c>
      <c r="H586">
        <v>3564.19</v>
      </c>
      <c r="I586">
        <v>34</v>
      </c>
      <c r="J586">
        <f t="shared" si="38"/>
        <v>121182.46</v>
      </c>
      <c r="K586">
        <f t="shared" si="39"/>
        <v>14930.079999999996</v>
      </c>
      <c r="L586" t="s">
        <v>17</v>
      </c>
      <c r="M586" t="s">
        <v>18</v>
      </c>
      <c r="N586" t="s">
        <v>19</v>
      </c>
    </row>
    <row r="587" spans="1:14" x14ac:dyDescent="0.3">
      <c r="A587" s="1">
        <v>45144</v>
      </c>
      <c r="B587" s="1" t="str">
        <f t="shared" si="36"/>
        <v>Aug</v>
      </c>
      <c r="C587" s="1" t="str">
        <f t="shared" si="37"/>
        <v>2023</v>
      </c>
      <c r="D587" t="s">
        <v>14</v>
      </c>
      <c r="E587" t="s">
        <v>15</v>
      </c>
      <c r="F587" t="s">
        <v>35</v>
      </c>
      <c r="G587">
        <v>2485.86</v>
      </c>
      <c r="H587">
        <v>2532.87</v>
      </c>
      <c r="I587">
        <v>4</v>
      </c>
      <c r="J587">
        <f t="shared" si="38"/>
        <v>10131.48</v>
      </c>
      <c r="K587">
        <f t="shared" si="39"/>
        <v>188.03999999999905</v>
      </c>
      <c r="L587" t="s">
        <v>30</v>
      </c>
      <c r="M587" t="s">
        <v>31</v>
      </c>
      <c r="N587" t="s">
        <v>19</v>
      </c>
    </row>
    <row r="588" spans="1:14" x14ac:dyDescent="0.3">
      <c r="A588" s="1">
        <v>45144</v>
      </c>
      <c r="B588" s="1" t="str">
        <f t="shared" si="36"/>
        <v>Aug</v>
      </c>
      <c r="C588" s="1" t="str">
        <f t="shared" si="37"/>
        <v>2023</v>
      </c>
      <c r="D588" t="s">
        <v>24</v>
      </c>
      <c r="E588" t="s">
        <v>15</v>
      </c>
      <c r="F588" t="s">
        <v>29</v>
      </c>
      <c r="G588">
        <v>1406.9</v>
      </c>
      <c r="H588">
        <v>1547.35</v>
      </c>
      <c r="I588">
        <v>45</v>
      </c>
      <c r="J588">
        <f t="shared" si="38"/>
        <v>69630.75</v>
      </c>
      <c r="K588">
        <f t="shared" si="39"/>
        <v>6320.2499999999918</v>
      </c>
      <c r="L588" t="s">
        <v>30</v>
      </c>
      <c r="M588" t="s">
        <v>18</v>
      </c>
      <c r="N588" t="s">
        <v>22</v>
      </c>
    </row>
    <row r="589" spans="1:14" x14ac:dyDescent="0.3">
      <c r="A589" s="1">
        <v>45145</v>
      </c>
      <c r="B589" s="1" t="str">
        <f t="shared" si="36"/>
        <v>Aug</v>
      </c>
      <c r="C589" s="1" t="str">
        <f t="shared" si="37"/>
        <v>2023</v>
      </c>
      <c r="D589" t="s">
        <v>42</v>
      </c>
      <c r="E589" t="s">
        <v>34</v>
      </c>
      <c r="F589" t="s">
        <v>29</v>
      </c>
      <c r="G589">
        <v>433.54</v>
      </c>
      <c r="H589">
        <v>445.48</v>
      </c>
      <c r="I589">
        <v>19</v>
      </c>
      <c r="J589">
        <f t="shared" si="38"/>
        <v>8464.1200000000008</v>
      </c>
      <c r="K589">
        <f t="shared" si="39"/>
        <v>226.85999999999996</v>
      </c>
      <c r="L589" t="s">
        <v>30</v>
      </c>
      <c r="M589" t="s">
        <v>27</v>
      </c>
      <c r="N589" t="s">
        <v>22</v>
      </c>
    </row>
    <row r="590" spans="1:14" x14ac:dyDescent="0.3">
      <c r="A590" s="1">
        <v>45145</v>
      </c>
      <c r="B590" s="1" t="str">
        <f t="shared" si="36"/>
        <v>Aug</v>
      </c>
      <c r="C590" s="1" t="str">
        <f t="shared" si="37"/>
        <v>2023</v>
      </c>
      <c r="D590" t="s">
        <v>33</v>
      </c>
      <c r="E590" t="s">
        <v>34</v>
      </c>
      <c r="F590" t="s">
        <v>26</v>
      </c>
      <c r="G590">
        <v>4402.66</v>
      </c>
      <c r="H590">
        <v>4724.7</v>
      </c>
      <c r="I590">
        <v>43</v>
      </c>
      <c r="J590">
        <f t="shared" si="38"/>
        <v>203162.1</v>
      </c>
      <c r="K590">
        <f t="shared" si="39"/>
        <v>13847.719999999998</v>
      </c>
      <c r="L590" t="s">
        <v>30</v>
      </c>
      <c r="M590" t="s">
        <v>27</v>
      </c>
      <c r="N590" t="s">
        <v>22</v>
      </c>
    </row>
    <row r="591" spans="1:14" x14ac:dyDescent="0.3">
      <c r="A591" s="1">
        <v>45146</v>
      </c>
      <c r="B591" s="1" t="str">
        <f t="shared" si="36"/>
        <v>Aug</v>
      </c>
      <c r="C591" s="1" t="str">
        <f t="shared" si="37"/>
        <v>2023</v>
      </c>
      <c r="D591" t="s">
        <v>42</v>
      </c>
      <c r="E591" t="s">
        <v>15</v>
      </c>
      <c r="F591" t="s">
        <v>29</v>
      </c>
      <c r="G591">
        <v>430.14</v>
      </c>
      <c r="H591">
        <v>641.17999999999995</v>
      </c>
      <c r="I591">
        <v>18</v>
      </c>
      <c r="J591">
        <f t="shared" si="38"/>
        <v>11541.24</v>
      </c>
      <c r="K591">
        <f t="shared" si="39"/>
        <v>3798.7199999999993</v>
      </c>
      <c r="L591" t="s">
        <v>30</v>
      </c>
      <c r="M591" t="s">
        <v>18</v>
      </c>
      <c r="N591" t="s">
        <v>19</v>
      </c>
    </row>
    <row r="592" spans="1:14" x14ac:dyDescent="0.3">
      <c r="A592" s="1">
        <v>45146</v>
      </c>
      <c r="B592" s="1" t="str">
        <f t="shared" si="36"/>
        <v>Aug</v>
      </c>
      <c r="C592" s="1" t="str">
        <f t="shared" si="37"/>
        <v>2023</v>
      </c>
      <c r="D592" t="s">
        <v>24</v>
      </c>
      <c r="E592" t="s">
        <v>15</v>
      </c>
      <c r="F592" t="s">
        <v>35</v>
      </c>
      <c r="G592">
        <v>1341.55</v>
      </c>
      <c r="H592">
        <v>1427.21</v>
      </c>
      <c r="I592">
        <v>33</v>
      </c>
      <c r="J592">
        <f t="shared" si="38"/>
        <v>47097.93</v>
      </c>
      <c r="K592">
        <f t="shared" si="39"/>
        <v>2826.7800000000025</v>
      </c>
      <c r="L592" t="s">
        <v>17</v>
      </c>
      <c r="M592" t="s">
        <v>31</v>
      </c>
      <c r="N592" t="s">
        <v>19</v>
      </c>
    </row>
    <row r="593" spans="1:14" x14ac:dyDescent="0.3">
      <c r="A593" s="1">
        <v>45147</v>
      </c>
      <c r="B593" s="1" t="str">
        <f t="shared" si="36"/>
        <v>Aug</v>
      </c>
      <c r="C593" s="1" t="str">
        <f t="shared" si="37"/>
        <v>2023</v>
      </c>
      <c r="D593" t="s">
        <v>24</v>
      </c>
      <c r="E593" t="s">
        <v>15</v>
      </c>
      <c r="F593" t="s">
        <v>29</v>
      </c>
      <c r="G593">
        <v>2888.49</v>
      </c>
      <c r="H593">
        <v>2929.45</v>
      </c>
      <c r="I593">
        <v>41</v>
      </c>
      <c r="J593">
        <f t="shared" si="38"/>
        <v>120107.45</v>
      </c>
      <c r="K593">
        <f t="shared" si="39"/>
        <v>1679.3600000000015</v>
      </c>
      <c r="L593" t="s">
        <v>30</v>
      </c>
      <c r="M593" t="s">
        <v>18</v>
      </c>
      <c r="N593" t="s">
        <v>22</v>
      </c>
    </row>
    <row r="594" spans="1:14" x14ac:dyDescent="0.3">
      <c r="A594" s="1">
        <v>45148</v>
      </c>
      <c r="B594" s="1" t="str">
        <f t="shared" si="36"/>
        <v>Aug</v>
      </c>
      <c r="C594" s="1" t="str">
        <f t="shared" si="37"/>
        <v>2023</v>
      </c>
      <c r="D594" t="s">
        <v>42</v>
      </c>
      <c r="E594" t="s">
        <v>15</v>
      </c>
      <c r="F594" t="s">
        <v>16</v>
      </c>
      <c r="G594">
        <v>1454.8</v>
      </c>
      <c r="H594">
        <v>1674.97</v>
      </c>
      <c r="I594">
        <v>43</v>
      </c>
      <c r="J594">
        <f t="shared" si="38"/>
        <v>72023.710000000006</v>
      </c>
      <c r="K594">
        <f t="shared" si="39"/>
        <v>9467.3100000000031</v>
      </c>
      <c r="L594" t="s">
        <v>30</v>
      </c>
      <c r="M594" t="s">
        <v>31</v>
      </c>
      <c r="N594" t="s">
        <v>19</v>
      </c>
    </row>
    <row r="595" spans="1:14" x14ac:dyDescent="0.3">
      <c r="A595" s="1">
        <v>45148</v>
      </c>
      <c r="B595" s="1" t="str">
        <f t="shared" si="36"/>
        <v>Aug</v>
      </c>
      <c r="C595" s="1" t="str">
        <f t="shared" si="37"/>
        <v>2023</v>
      </c>
      <c r="D595" t="s">
        <v>38</v>
      </c>
      <c r="E595" t="s">
        <v>25</v>
      </c>
      <c r="F595" t="s">
        <v>26</v>
      </c>
      <c r="G595">
        <v>1543.96</v>
      </c>
      <c r="H595">
        <v>1558.87</v>
      </c>
      <c r="I595">
        <v>30</v>
      </c>
      <c r="J595">
        <f t="shared" si="38"/>
        <v>46766.1</v>
      </c>
      <c r="K595">
        <f t="shared" si="39"/>
        <v>447.29999999999563</v>
      </c>
      <c r="L595" t="s">
        <v>17</v>
      </c>
      <c r="M595" t="s">
        <v>31</v>
      </c>
      <c r="N595" t="s">
        <v>19</v>
      </c>
    </row>
    <row r="596" spans="1:14" x14ac:dyDescent="0.3">
      <c r="A596" s="1">
        <v>45148</v>
      </c>
      <c r="B596" s="1" t="str">
        <f t="shared" si="36"/>
        <v>Aug</v>
      </c>
      <c r="C596" s="1" t="str">
        <f t="shared" si="37"/>
        <v>2023</v>
      </c>
      <c r="D596" t="s">
        <v>14</v>
      </c>
      <c r="E596" t="s">
        <v>25</v>
      </c>
      <c r="F596" t="s">
        <v>26</v>
      </c>
      <c r="G596">
        <v>421.05</v>
      </c>
      <c r="H596">
        <v>488.23</v>
      </c>
      <c r="I596">
        <v>5</v>
      </c>
      <c r="J596">
        <f t="shared" si="38"/>
        <v>2441.15</v>
      </c>
      <c r="K596">
        <f t="shared" si="39"/>
        <v>335.90000000000003</v>
      </c>
      <c r="L596" t="s">
        <v>17</v>
      </c>
      <c r="M596" t="s">
        <v>31</v>
      </c>
      <c r="N596" t="s">
        <v>22</v>
      </c>
    </row>
    <row r="597" spans="1:14" x14ac:dyDescent="0.3">
      <c r="A597" s="1">
        <v>45148</v>
      </c>
      <c r="B597" s="1" t="str">
        <f t="shared" si="36"/>
        <v>Aug</v>
      </c>
      <c r="C597" s="1" t="str">
        <f t="shared" si="37"/>
        <v>2023</v>
      </c>
      <c r="D597" t="s">
        <v>33</v>
      </c>
      <c r="E597" t="s">
        <v>15</v>
      </c>
      <c r="F597" t="s">
        <v>35</v>
      </c>
      <c r="G597">
        <v>4966.66</v>
      </c>
      <c r="H597">
        <v>5037.2699999999904</v>
      </c>
      <c r="I597">
        <v>17</v>
      </c>
      <c r="J597">
        <f t="shared" si="38"/>
        <v>85633.589999999836</v>
      </c>
      <c r="K597">
        <f t="shared" si="39"/>
        <v>1200.3699999998398</v>
      </c>
      <c r="L597" t="s">
        <v>17</v>
      </c>
      <c r="M597" t="s">
        <v>27</v>
      </c>
      <c r="N597" t="s">
        <v>22</v>
      </c>
    </row>
    <row r="598" spans="1:14" x14ac:dyDescent="0.3">
      <c r="A598" s="1">
        <v>45149</v>
      </c>
      <c r="B598" s="1" t="str">
        <f t="shared" si="36"/>
        <v>Aug</v>
      </c>
      <c r="C598" s="1" t="str">
        <f t="shared" si="37"/>
        <v>2023</v>
      </c>
      <c r="D598" t="s">
        <v>38</v>
      </c>
      <c r="E598" t="s">
        <v>34</v>
      </c>
      <c r="F598" t="s">
        <v>16</v>
      </c>
      <c r="G598">
        <v>970.51</v>
      </c>
      <c r="H598">
        <v>1330.84</v>
      </c>
      <c r="I598">
        <v>32</v>
      </c>
      <c r="J598">
        <f t="shared" si="38"/>
        <v>42586.879999999997</v>
      </c>
      <c r="K598">
        <f t="shared" si="39"/>
        <v>11530.559999999998</v>
      </c>
      <c r="L598" t="s">
        <v>17</v>
      </c>
      <c r="M598" t="s">
        <v>18</v>
      </c>
      <c r="N598" t="s">
        <v>22</v>
      </c>
    </row>
    <row r="599" spans="1:14" x14ac:dyDescent="0.3">
      <c r="A599" s="1">
        <v>45149</v>
      </c>
      <c r="B599" s="1" t="str">
        <f t="shared" si="36"/>
        <v>Aug</v>
      </c>
      <c r="C599" s="1" t="str">
        <f t="shared" si="37"/>
        <v>2023</v>
      </c>
      <c r="D599" t="s">
        <v>38</v>
      </c>
      <c r="E599" t="s">
        <v>15</v>
      </c>
      <c r="F599" t="s">
        <v>29</v>
      </c>
      <c r="G599">
        <v>4232.6099999999997</v>
      </c>
      <c r="H599">
        <v>4572.21</v>
      </c>
      <c r="I599">
        <v>43</v>
      </c>
      <c r="J599">
        <f t="shared" si="38"/>
        <v>196605.03</v>
      </c>
      <c r="K599">
        <f t="shared" si="39"/>
        <v>14602.800000000016</v>
      </c>
      <c r="L599" t="s">
        <v>30</v>
      </c>
      <c r="M599" t="s">
        <v>18</v>
      </c>
      <c r="N599" t="s">
        <v>22</v>
      </c>
    </row>
    <row r="600" spans="1:14" x14ac:dyDescent="0.3">
      <c r="A600" s="1">
        <v>45149</v>
      </c>
      <c r="B600" s="1" t="str">
        <f t="shared" si="36"/>
        <v>Aug</v>
      </c>
      <c r="C600" s="1" t="str">
        <f t="shared" si="37"/>
        <v>2023</v>
      </c>
      <c r="D600" t="s">
        <v>33</v>
      </c>
      <c r="E600" t="s">
        <v>21</v>
      </c>
      <c r="F600" t="s">
        <v>29</v>
      </c>
      <c r="G600">
        <v>4848.9799999999996</v>
      </c>
      <c r="H600">
        <v>4985.75</v>
      </c>
      <c r="I600">
        <v>45</v>
      </c>
      <c r="J600">
        <f t="shared" si="38"/>
        <v>224358.75</v>
      </c>
      <c r="K600">
        <f t="shared" si="39"/>
        <v>6154.6500000000196</v>
      </c>
      <c r="L600" t="s">
        <v>17</v>
      </c>
      <c r="M600" t="s">
        <v>27</v>
      </c>
      <c r="N600" t="s">
        <v>19</v>
      </c>
    </row>
    <row r="601" spans="1:14" x14ac:dyDescent="0.3">
      <c r="A601" s="1">
        <v>45149</v>
      </c>
      <c r="B601" s="1" t="str">
        <f t="shared" si="36"/>
        <v>Aug</v>
      </c>
      <c r="C601" s="1" t="str">
        <f t="shared" si="37"/>
        <v>2023</v>
      </c>
      <c r="D601" t="s">
        <v>24</v>
      </c>
      <c r="E601" t="s">
        <v>34</v>
      </c>
      <c r="F601" t="s">
        <v>26</v>
      </c>
      <c r="G601">
        <v>4714.74</v>
      </c>
      <c r="H601">
        <v>5129.1099999999997</v>
      </c>
      <c r="I601">
        <v>5</v>
      </c>
      <c r="J601">
        <f t="shared" si="38"/>
        <v>25645.55</v>
      </c>
      <c r="K601">
        <f t="shared" si="39"/>
        <v>2071.8499999999995</v>
      </c>
      <c r="L601" t="s">
        <v>30</v>
      </c>
      <c r="M601" t="s">
        <v>27</v>
      </c>
      <c r="N601" t="s">
        <v>19</v>
      </c>
    </row>
    <row r="602" spans="1:14" x14ac:dyDescent="0.3">
      <c r="A602" s="1">
        <v>45149</v>
      </c>
      <c r="B602" s="1" t="str">
        <f t="shared" si="36"/>
        <v>Aug</v>
      </c>
      <c r="C602" s="1" t="str">
        <f t="shared" si="37"/>
        <v>2023</v>
      </c>
      <c r="D602" t="s">
        <v>33</v>
      </c>
      <c r="E602" t="s">
        <v>15</v>
      </c>
      <c r="F602" t="s">
        <v>16</v>
      </c>
      <c r="G602">
        <v>2289.2199999999998</v>
      </c>
      <c r="H602">
        <v>2581</v>
      </c>
      <c r="I602">
        <v>43</v>
      </c>
      <c r="J602">
        <f t="shared" si="38"/>
        <v>110983</v>
      </c>
      <c r="K602">
        <f t="shared" si="39"/>
        <v>12546.540000000008</v>
      </c>
      <c r="L602" t="s">
        <v>30</v>
      </c>
      <c r="M602" t="s">
        <v>27</v>
      </c>
      <c r="N602" t="s">
        <v>19</v>
      </c>
    </row>
    <row r="603" spans="1:14" x14ac:dyDescent="0.3">
      <c r="A603" s="1">
        <v>45150</v>
      </c>
      <c r="B603" s="1" t="str">
        <f t="shared" si="36"/>
        <v>Aug</v>
      </c>
      <c r="C603" s="1" t="str">
        <f t="shared" si="37"/>
        <v>2023</v>
      </c>
      <c r="D603" t="s">
        <v>33</v>
      </c>
      <c r="E603" t="s">
        <v>15</v>
      </c>
      <c r="F603" t="s">
        <v>35</v>
      </c>
      <c r="G603">
        <v>3161.09</v>
      </c>
      <c r="H603">
        <v>3216.42</v>
      </c>
      <c r="I603">
        <v>9</v>
      </c>
      <c r="J603">
        <f t="shared" si="38"/>
        <v>28947.78</v>
      </c>
      <c r="K603">
        <f t="shared" si="39"/>
        <v>497.96999999999935</v>
      </c>
      <c r="L603" t="s">
        <v>30</v>
      </c>
      <c r="M603" t="s">
        <v>27</v>
      </c>
      <c r="N603" t="s">
        <v>19</v>
      </c>
    </row>
    <row r="604" spans="1:14" x14ac:dyDescent="0.3">
      <c r="A604" s="1">
        <v>45150</v>
      </c>
      <c r="B604" s="1" t="str">
        <f t="shared" si="36"/>
        <v>Aug</v>
      </c>
      <c r="C604" s="1" t="str">
        <f t="shared" si="37"/>
        <v>2023</v>
      </c>
      <c r="D604" t="s">
        <v>33</v>
      </c>
      <c r="E604" t="s">
        <v>25</v>
      </c>
      <c r="F604" t="s">
        <v>29</v>
      </c>
      <c r="G604">
        <v>3956.03</v>
      </c>
      <c r="H604">
        <v>4163.68</v>
      </c>
      <c r="I604">
        <v>41</v>
      </c>
      <c r="J604">
        <f t="shared" si="38"/>
        <v>170710.88</v>
      </c>
      <c r="K604">
        <f t="shared" si="39"/>
        <v>8513.6500000000033</v>
      </c>
      <c r="L604" t="s">
        <v>30</v>
      </c>
      <c r="M604" t="s">
        <v>27</v>
      </c>
      <c r="N604" t="s">
        <v>22</v>
      </c>
    </row>
    <row r="605" spans="1:14" x14ac:dyDescent="0.3">
      <c r="A605" s="1">
        <v>45150</v>
      </c>
      <c r="B605" s="1" t="str">
        <f t="shared" si="36"/>
        <v>Aug</v>
      </c>
      <c r="C605" s="1" t="str">
        <f t="shared" si="37"/>
        <v>2023</v>
      </c>
      <c r="D605" t="s">
        <v>24</v>
      </c>
      <c r="E605" t="s">
        <v>15</v>
      </c>
      <c r="F605" t="s">
        <v>16</v>
      </c>
      <c r="G605">
        <v>3970.08</v>
      </c>
      <c r="H605">
        <v>4096.4799999999996</v>
      </c>
      <c r="I605">
        <v>5</v>
      </c>
      <c r="J605">
        <f t="shared" si="38"/>
        <v>20482.399999999998</v>
      </c>
      <c r="K605">
        <f t="shared" si="39"/>
        <v>631.99999999999818</v>
      </c>
      <c r="L605" t="s">
        <v>17</v>
      </c>
      <c r="M605" t="s">
        <v>18</v>
      </c>
      <c r="N605" t="s">
        <v>22</v>
      </c>
    </row>
    <row r="606" spans="1:14" x14ac:dyDescent="0.3">
      <c r="A606" s="1">
        <v>45150</v>
      </c>
      <c r="B606" s="1" t="str">
        <f t="shared" si="36"/>
        <v>Aug</v>
      </c>
      <c r="C606" s="1" t="str">
        <f t="shared" si="37"/>
        <v>2023</v>
      </c>
      <c r="D606" t="s">
        <v>14</v>
      </c>
      <c r="E606" t="s">
        <v>34</v>
      </c>
      <c r="F606" t="s">
        <v>26</v>
      </c>
      <c r="G606">
        <v>2868.02</v>
      </c>
      <c r="H606">
        <v>2994.74</v>
      </c>
      <c r="I606">
        <v>2</v>
      </c>
      <c r="J606">
        <f t="shared" si="38"/>
        <v>5989.48</v>
      </c>
      <c r="K606">
        <f t="shared" si="39"/>
        <v>253.4399999999996</v>
      </c>
      <c r="L606" t="s">
        <v>17</v>
      </c>
      <c r="M606" t="s">
        <v>27</v>
      </c>
      <c r="N606" t="s">
        <v>19</v>
      </c>
    </row>
    <row r="607" spans="1:14" x14ac:dyDescent="0.3">
      <c r="A607" s="1">
        <v>45150</v>
      </c>
      <c r="B607" s="1" t="str">
        <f t="shared" si="36"/>
        <v>Aug</v>
      </c>
      <c r="C607" s="1" t="str">
        <f t="shared" si="37"/>
        <v>2023</v>
      </c>
      <c r="D607" t="s">
        <v>24</v>
      </c>
      <c r="E607" t="s">
        <v>34</v>
      </c>
      <c r="F607" t="s">
        <v>16</v>
      </c>
      <c r="G607">
        <v>1612.93</v>
      </c>
      <c r="H607">
        <v>1964.15</v>
      </c>
      <c r="I607">
        <v>14</v>
      </c>
      <c r="J607">
        <f t="shared" si="38"/>
        <v>27498.100000000002</v>
      </c>
      <c r="K607">
        <f t="shared" si="39"/>
        <v>4917.08</v>
      </c>
      <c r="L607" t="s">
        <v>17</v>
      </c>
      <c r="M607" t="s">
        <v>27</v>
      </c>
      <c r="N607" t="s">
        <v>22</v>
      </c>
    </row>
    <row r="608" spans="1:14" x14ac:dyDescent="0.3">
      <c r="A608" s="1">
        <v>45151</v>
      </c>
      <c r="B608" s="1" t="str">
        <f t="shared" si="36"/>
        <v>Aug</v>
      </c>
      <c r="C608" s="1" t="str">
        <f t="shared" si="37"/>
        <v>2023</v>
      </c>
      <c r="D608" t="s">
        <v>14</v>
      </c>
      <c r="E608" t="s">
        <v>34</v>
      </c>
      <c r="F608" t="s">
        <v>29</v>
      </c>
      <c r="G608">
        <v>324.45</v>
      </c>
      <c r="H608">
        <v>336.37</v>
      </c>
      <c r="I608">
        <v>38</v>
      </c>
      <c r="J608">
        <f t="shared" si="38"/>
        <v>12782.06</v>
      </c>
      <c r="K608">
        <f t="shared" si="39"/>
        <v>452.9600000000006</v>
      </c>
      <c r="L608" t="s">
        <v>30</v>
      </c>
      <c r="M608" t="s">
        <v>31</v>
      </c>
      <c r="N608" t="s">
        <v>22</v>
      </c>
    </row>
    <row r="609" spans="1:14" x14ac:dyDescent="0.3">
      <c r="A609" s="1">
        <v>45151</v>
      </c>
      <c r="B609" s="1" t="str">
        <f t="shared" si="36"/>
        <v>Aug</v>
      </c>
      <c r="C609" s="1" t="str">
        <f t="shared" si="37"/>
        <v>2023</v>
      </c>
      <c r="D609" t="s">
        <v>42</v>
      </c>
      <c r="E609" t="s">
        <v>21</v>
      </c>
      <c r="F609" t="s">
        <v>29</v>
      </c>
      <c r="G609">
        <v>3991.69</v>
      </c>
      <c r="H609">
        <v>4454.97</v>
      </c>
      <c r="I609">
        <v>5</v>
      </c>
      <c r="J609">
        <f t="shared" si="38"/>
        <v>22274.850000000002</v>
      </c>
      <c r="K609">
        <f t="shared" si="39"/>
        <v>2316.400000000001</v>
      </c>
      <c r="L609" t="s">
        <v>30</v>
      </c>
      <c r="M609" t="s">
        <v>31</v>
      </c>
      <c r="N609" t="s">
        <v>22</v>
      </c>
    </row>
    <row r="610" spans="1:14" x14ac:dyDescent="0.3">
      <c r="A610" s="1">
        <v>45151</v>
      </c>
      <c r="B610" s="1" t="str">
        <f t="shared" si="36"/>
        <v>Aug</v>
      </c>
      <c r="C610" s="1" t="str">
        <f t="shared" si="37"/>
        <v>2023</v>
      </c>
      <c r="D610" t="s">
        <v>42</v>
      </c>
      <c r="E610" t="s">
        <v>21</v>
      </c>
      <c r="F610" t="s">
        <v>16</v>
      </c>
      <c r="G610">
        <v>3497.98</v>
      </c>
      <c r="H610">
        <v>3765.31</v>
      </c>
      <c r="I610">
        <v>21</v>
      </c>
      <c r="J610">
        <f t="shared" si="38"/>
        <v>79071.509999999995</v>
      </c>
      <c r="K610">
        <f t="shared" si="39"/>
        <v>5613.9299999999985</v>
      </c>
      <c r="L610" t="s">
        <v>30</v>
      </c>
      <c r="M610" t="s">
        <v>18</v>
      </c>
      <c r="N610" t="s">
        <v>19</v>
      </c>
    </row>
    <row r="611" spans="1:14" x14ac:dyDescent="0.3">
      <c r="A611" s="1">
        <v>45152</v>
      </c>
      <c r="B611" s="1" t="str">
        <f t="shared" si="36"/>
        <v>Aug</v>
      </c>
      <c r="C611" s="1" t="str">
        <f t="shared" si="37"/>
        <v>2023</v>
      </c>
      <c r="D611" t="s">
        <v>42</v>
      </c>
      <c r="E611" t="s">
        <v>34</v>
      </c>
      <c r="F611" t="s">
        <v>29</v>
      </c>
      <c r="G611">
        <v>3749.12</v>
      </c>
      <c r="H611">
        <v>4138.83</v>
      </c>
      <c r="I611">
        <v>26</v>
      </c>
      <c r="J611">
        <f t="shared" si="38"/>
        <v>107609.58</v>
      </c>
      <c r="K611">
        <f t="shared" si="39"/>
        <v>10132.460000000001</v>
      </c>
      <c r="L611" t="s">
        <v>30</v>
      </c>
      <c r="M611" t="s">
        <v>31</v>
      </c>
      <c r="N611" t="s">
        <v>19</v>
      </c>
    </row>
    <row r="612" spans="1:14" x14ac:dyDescent="0.3">
      <c r="A612" s="1">
        <v>45152</v>
      </c>
      <c r="B612" s="1" t="str">
        <f t="shared" si="36"/>
        <v>Aug</v>
      </c>
      <c r="C612" s="1" t="str">
        <f t="shared" si="37"/>
        <v>2023</v>
      </c>
      <c r="D612" t="s">
        <v>14</v>
      </c>
      <c r="E612" t="s">
        <v>15</v>
      </c>
      <c r="F612" t="s">
        <v>29</v>
      </c>
      <c r="G612">
        <v>3760.25</v>
      </c>
      <c r="H612">
        <v>4147.1099999999997</v>
      </c>
      <c r="I612">
        <v>27</v>
      </c>
      <c r="J612">
        <f t="shared" si="38"/>
        <v>111971.96999999999</v>
      </c>
      <c r="K612">
        <f t="shared" si="39"/>
        <v>10445.21999999999</v>
      </c>
      <c r="L612" t="s">
        <v>30</v>
      </c>
      <c r="M612" t="s">
        <v>18</v>
      </c>
      <c r="N612" t="s">
        <v>19</v>
      </c>
    </row>
    <row r="613" spans="1:14" x14ac:dyDescent="0.3">
      <c r="A613" s="1">
        <v>45152</v>
      </c>
      <c r="B613" s="1" t="str">
        <f t="shared" si="36"/>
        <v>Aug</v>
      </c>
      <c r="C613" s="1" t="str">
        <f t="shared" si="37"/>
        <v>2023</v>
      </c>
      <c r="D613" t="s">
        <v>14</v>
      </c>
      <c r="E613" t="s">
        <v>21</v>
      </c>
      <c r="F613" t="s">
        <v>29</v>
      </c>
      <c r="G613">
        <v>4337.8500000000004</v>
      </c>
      <c r="H613">
        <v>4612.49</v>
      </c>
      <c r="I613">
        <v>26</v>
      </c>
      <c r="J613">
        <f t="shared" si="38"/>
        <v>119924.73999999999</v>
      </c>
      <c r="K613">
        <f t="shared" si="39"/>
        <v>7140.6399999999849</v>
      </c>
      <c r="L613" t="s">
        <v>17</v>
      </c>
      <c r="M613" t="s">
        <v>18</v>
      </c>
      <c r="N613" t="s">
        <v>22</v>
      </c>
    </row>
    <row r="614" spans="1:14" x14ac:dyDescent="0.3">
      <c r="A614" s="1">
        <v>45152</v>
      </c>
      <c r="B614" s="1" t="str">
        <f t="shared" si="36"/>
        <v>Aug</v>
      </c>
      <c r="C614" s="1" t="str">
        <f t="shared" si="37"/>
        <v>2023</v>
      </c>
      <c r="D614" t="s">
        <v>42</v>
      </c>
      <c r="E614" t="s">
        <v>25</v>
      </c>
      <c r="F614" t="s">
        <v>35</v>
      </c>
      <c r="G614">
        <v>955.18</v>
      </c>
      <c r="H614">
        <v>1072.82</v>
      </c>
      <c r="I614">
        <v>20</v>
      </c>
      <c r="J614">
        <f t="shared" si="38"/>
        <v>21456.399999999998</v>
      </c>
      <c r="K614">
        <f t="shared" si="39"/>
        <v>2352.7999999999997</v>
      </c>
      <c r="L614" t="s">
        <v>30</v>
      </c>
      <c r="M614" t="s">
        <v>27</v>
      </c>
      <c r="N614" t="s">
        <v>22</v>
      </c>
    </row>
    <row r="615" spans="1:14" x14ac:dyDescent="0.3">
      <c r="A615" s="1">
        <v>45152</v>
      </c>
      <c r="B615" s="1" t="str">
        <f t="shared" si="36"/>
        <v>Aug</v>
      </c>
      <c r="C615" s="1" t="str">
        <f t="shared" si="37"/>
        <v>2023</v>
      </c>
      <c r="D615" t="s">
        <v>38</v>
      </c>
      <c r="E615" t="s">
        <v>21</v>
      </c>
      <c r="F615" t="s">
        <v>29</v>
      </c>
      <c r="G615">
        <v>2505.41</v>
      </c>
      <c r="H615">
        <v>2638.96</v>
      </c>
      <c r="I615">
        <v>42</v>
      </c>
      <c r="J615">
        <f t="shared" si="38"/>
        <v>110836.32</v>
      </c>
      <c r="K615">
        <f t="shared" si="39"/>
        <v>5609.1000000000076</v>
      </c>
      <c r="L615" t="s">
        <v>30</v>
      </c>
      <c r="M615" t="s">
        <v>27</v>
      </c>
      <c r="N615" t="s">
        <v>19</v>
      </c>
    </row>
    <row r="616" spans="1:14" x14ac:dyDescent="0.3">
      <c r="A616" s="1">
        <v>45152</v>
      </c>
      <c r="B616" s="1" t="str">
        <f t="shared" si="36"/>
        <v>Aug</v>
      </c>
      <c r="C616" s="1" t="str">
        <f t="shared" si="37"/>
        <v>2023</v>
      </c>
      <c r="D616" t="s">
        <v>24</v>
      </c>
      <c r="E616" t="s">
        <v>21</v>
      </c>
      <c r="F616" t="s">
        <v>26</v>
      </c>
      <c r="G616">
        <v>235.12</v>
      </c>
      <c r="H616">
        <v>677.5</v>
      </c>
      <c r="I616">
        <v>6</v>
      </c>
      <c r="J616">
        <f t="shared" si="38"/>
        <v>4065</v>
      </c>
      <c r="K616">
        <f t="shared" si="39"/>
        <v>2654.2799999999997</v>
      </c>
      <c r="L616" t="s">
        <v>17</v>
      </c>
      <c r="M616" t="s">
        <v>31</v>
      </c>
      <c r="N616" t="s">
        <v>19</v>
      </c>
    </row>
    <row r="617" spans="1:14" x14ac:dyDescent="0.3">
      <c r="A617" s="1">
        <v>45152</v>
      </c>
      <c r="B617" s="1" t="str">
        <f t="shared" si="36"/>
        <v>Aug</v>
      </c>
      <c r="C617" s="1" t="str">
        <f t="shared" si="37"/>
        <v>2023</v>
      </c>
      <c r="D617" t="s">
        <v>14</v>
      </c>
      <c r="E617" t="s">
        <v>21</v>
      </c>
      <c r="F617" t="s">
        <v>26</v>
      </c>
      <c r="G617">
        <v>1100.81</v>
      </c>
      <c r="H617">
        <v>1137.44</v>
      </c>
      <c r="I617">
        <v>43</v>
      </c>
      <c r="J617">
        <f t="shared" si="38"/>
        <v>48909.920000000006</v>
      </c>
      <c r="K617">
        <f t="shared" si="39"/>
        <v>1575.0900000000047</v>
      </c>
      <c r="L617" t="s">
        <v>17</v>
      </c>
      <c r="M617" t="s">
        <v>27</v>
      </c>
      <c r="N617" t="s">
        <v>19</v>
      </c>
    </row>
    <row r="618" spans="1:14" x14ac:dyDescent="0.3">
      <c r="A618" s="1">
        <v>45153</v>
      </c>
      <c r="B618" s="1" t="str">
        <f t="shared" si="36"/>
        <v>Aug</v>
      </c>
      <c r="C618" s="1" t="str">
        <f t="shared" si="37"/>
        <v>2023</v>
      </c>
      <c r="D618" t="s">
        <v>38</v>
      </c>
      <c r="E618" t="s">
        <v>34</v>
      </c>
      <c r="F618" t="s">
        <v>29</v>
      </c>
      <c r="G618">
        <v>1412.09</v>
      </c>
      <c r="H618">
        <v>1596.6499999999901</v>
      </c>
      <c r="I618">
        <v>29</v>
      </c>
      <c r="J618">
        <f t="shared" si="38"/>
        <v>46302.849999999715</v>
      </c>
      <c r="K618">
        <f t="shared" si="39"/>
        <v>5352.2399999997151</v>
      </c>
      <c r="L618" t="s">
        <v>17</v>
      </c>
      <c r="M618" t="s">
        <v>18</v>
      </c>
      <c r="N618" t="s">
        <v>19</v>
      </c>
    </row>
    <row r="619" spans="1:14" x14ac:dyDescent="0.3">
      <c r="A619" s="1">
        <v>45153</v>
      </c>
      <c r="B619" s="1" t="str">
        <f t="shared" si="36"/>
        <v>Aug</v>
      </c>
      <c r="C619" s="1" t="str">
        <f t="shared" si="37"/>
        <v>2023</v>
      </c>
      <c r="D619" t="s">
        <v>42</v>
      </c>
      <c r="E619" t="s">
        <v>25</v>
      </c>
      <c r="F619" t="s">
        <v>16</v>
      </c>
      <c r="G619">
        <v>4095.1</v>
      </c>
      <c r="H619">
        <v>4134.55</v>
      </c>
      <c r="I619">
        <v>4</v>
      </c>
      <c r="J619">
        <f t="shared" si="38"/>
        <v>16538.2</v>
      </c>
      <c r="K619">
        <f t="shared" si="39"/>
        <v>157.80000000000109</v>
      </c>
      <c r="L619" t="s">
        <v>17</v>
      </c>
      <c r="M619" t="s">
        <v>27</v>
      </c>
      <c r="N619" t="s">
        <v>22</v>
      </c>
    </row>
    <row r="620" spans="1:14" x14ac:dyDescent="0.3">
      <c r="A620" s="1">
        <v>45153</v>
      </c>
      <c r="B620" s="1" t="str">
        <f t="shared" si="36"/>
        <v>Aug</v>
      </c>
      <c r="C620" s="1" t="str">
        <f t="shared" si="37"/>
        <v>2023</v>
      </c>
      <c r="D620" t="s">
        <v>42</v>
      </c>
      <c r="E620" t="s">
        <v>34</v>
      </c>
      <c r="F620" t="s">
        <v>26</v>
      </c>
      <c r="G620">
        <v>1046.96</v>
      </c>
      <c r="H620">
        <v>1528.15</v>
      </c>
      <c r="I620">
        <v>26</v>
      </c>
      <c r="J620">
        <f t="shared" si="38"/>
        <v>39731.9</v>
      </c>
      <c r="K620">
        <f t="shared" si="39"/>
        <v>12510.940000000002</v>
      </c>
      <c r="L620" t="s">
        <v>30</v>
      </c>
      <c r="M620" t="s">
        <v>31</v>
      </c>
      <c r="N620" t="s">
        <v>22</v>
      </c>
    </row>
    <row r="621" spans="1:14" x14ac:dyDescent="0.3">
      <c r="A621" s="1">
        <v>45153</v>
      </c>
      <c r="B621" s="1" t="str">
        <f t="shared" si="36"/>
        <v>Aug</v>
      </c>
      <c r="C621" s="1" t="str">
        <f t="shared" si="37"/>
        <v>2023</v>
      </c>
      <c r="D621" t="s">
        <v>42</v>
      </c>
      <c r="E621" t="s">
        <v>25</v>
      </c>
      <c r="F621" t="s">
        <v>26</v>
      </c>
      <c r="G621">
        <v>1142.53</v>
      </c>
      <c r="H621">
        <v>1384.3</v>
      </c>
      <c r="I621">
        <v>21</v>
      </c>
      <c r="J621">
        <f t="shared" si="38"/>
        <v>29070.3</v>
      </c>
      <c r="K621">
        <f t="shared" si="39"/>
        <v>5077.17</v>
      </c>
      <c r="L621" t="s">
        <v>17</v>
      </c>
      <c r="M621" t="s">
        <v>31</v>
      </c>
      <c r="N621" t="s">
        <v>22</v>
      </c>
    </row>
    <row r="622" spans="1:14" x14ac:dyDescent="0.3">
      <c r="A622" s="1">
        <v>45153</v>
      </c>
      <c r="B622" s="1" t="str">
        <f t="shared" si="36"/>
        <v>Aug</v>
      </c>
      <c r="C622" s="1" t="str">
        <f t="shared" si="37"/>
        <v>2023</v>
      </c>
      <c r="D622" t="s">
        <v>24</v>
      </c>
      <c r="E622" t="s">
        <v>21</v>
      </c>
      <c r="F622" t="s">
        <v>16</v>
      </c>
      <c r="G622">
        <v>1723.01</v>
      </c>
      <c r="H622">
        <v>2197.42</v>
      </c>
      <c r="I622">
        <v>29</v>
      </c>
      <c r="J622">
        <f t="shared" si="38"/>
        <v>63725.18</v>
      </c>
      <c r="K622">
        <f t="shared" si="39"/>
        <v>13757.890000000003</v>
      </c>
      <c r="L622" t="s">
        <v>30</v>
      </c>
      <c r="M622" t="s">
        <v>27</v>
      </c>
      <c r="N622" t="s">
        <v>22</v>
      </c>
    </row>
    <row r="623" spans="1:14" x14ac:dyDescent="0.3">
      <c r="A623" s="1">
        <v>45153</v>
      </c>
      <c r="B623" s="1" t="str">
        <f t="shared" si="36"/>
        <v>Aug</v>
      </c>
      <c r="C623" s="1" t="str">
        <f t="shared" si="37"/>
        <v>2023</v>
      </c>
      <c r="D623" t="s">
        <v>33</v>
      </c>
      <c r="E623" t="s">
        <v>15</v>
      </c>
      <c r="F623" t="s">
        <v>29</v>
      </c>
      <c r="G623">
        <v>2570.2199999999998</v>
      </c>
      <c r="H623">
        <v>2610.8399999999901</v>
      </c>
      <c r="I623">
        <v>28</v>
      </c>
      <c r="J623">
        <f t="shared" si="38"/>
        <v>73103.519999999728</v>
      </c>
      <c r="K623">
        <f t="shared" si="39"/>
        <v>1137.3599999997296</v>
      </c>
      <c r="L623" t="s">
        <v>17</v>
      </c>
      <c r="M623" t="s">
        <v>27</v>
      </c>
      <c r="N623" t="s">
        <v>22</v>
      </c>
    </row>
    <row r="624" spans="1:14" x14ac:dyDescent="0.3">
      <c r="A624" s="1">
        <v>45154</v>
      </c>
      <c r="B624" s="1" t="str">
        <f t="shared" si="36"/>
        <v>Aug</v>
      </c>
      <c r="C624" s="1" t="str">
        <f t="shared" si="37"/>
        <v>2023</v>
      </c>
      <c r="D624" t="s">
        <v>24</v>
      </c>
      <c r="E624" t="s">
        <v>25</v>
      </c>
      <c r="F624" t="s">
        <v>16</v>
      </c>
      <c r="G624">
        <v>433.19</v>
      </c>
      <c r="H624">
        <v>800.6</v>
      </c>
      <c r="I624">
        <v>26</v>
      </c>
      <c r="J624">
        <f t="shared" si="38"/>
        <v>20815.600000000002</v>
      </c>
      <c r="K624">
        <f t="shared" si="39"/>
        <v>9552.66</v>
      </c>
      <c r="L624" t="s">
        <v>17</v>
      </c>
      <c r="M624" t="s">
        <v>18</v>
      </c>
      <c r="N624" t="s">
        <v>19</v>
      </c>
    </row>
    <row r="625" spans="1:14" x14ac:dyDescent="0.3">
      <c r="A625" s="1">
        <v>45154</v>
      </c>
      <c r="B625" s="1" t="str">
        <f t="shared" si="36"/>
        <v>Aug</v>
      </c>
      <c r="C625" s="1" t="str">
        <f t="shared" si="37"/>
        <v>2023</v>
      </c>
      <c r="D625" t="s">
        <v>42</v>
      </c>
      <c r="E625" t="s">
        <v>21</v>
      </c>
      <c r="F625" t="s">
        <v>29</v>
      </c>
      <c r="G625">
        <v>3110.54</v>
      </c>
      <c r="H625">
        <v>3192.99</v>
      </c>
      <c r="I625">
        <v>21</v>
      </c>
      <c r="J625">
        <f t="shared" si="38"/>
        <v>67052.789999999994</v>
      </c>
      <c r="K625">
        <f t="shared" si="39"/>
        <v>1731.4499999999962</v>
      </c>
      <c r="L625" t="s">
        <v>30</v>
      </c>
      <c r="M625" t="s">
        <v>31</v>
      </c>
      <c r="N625" t="s">
        <v>19</v>
      </c>
    </row>
    <row r="626" spans="1:14" x14ac:dyDescent="0.3">
      <c r="A626" s="1">
        <v>45154</v>
      </c>
      <c r="B626" s="1" t="str">
        <f t="shared" si="36"/>
        <v>Aug</v>
      </c>
      <c r="C626" s="1" t="str">
        <f t="shared" si="37"/>
        <v>2023</v>
      </c>
      <c r="D626" t="s">
        <v>42</v>
      </c>
      <c r="E626" t="s">
        <v>34</v>
      </c>
      <c r="F626" t="s">
        <v>26</v>
      </c>
      <c r="G626">
        <v>2632.58</v>
      </c>
      <c r="H626">
        <v>2926.68</v>
      </c>
      <c r="I626">
        <v>48</v>
      </c>
      <c r="J626">
        <f t="shared" si="38"/>
        <v>140480.63999999998</v>
      </c>
      <c r="K626">
        <f t="shared" si="39"/>
        <v>14116.799999999996</v>
      </c>
      <c r="L626" t="s">
        <v>17</v>
      </c>
      <c r="M626" t="s">
        <v>18</v>
      </c>
      <c r="N626" t="s">
        <v>19</v>
      </c>
    </row>
    <row r="627" spans="1:14" x14ac:dyDescent="0.3">
      <c r="A627" s="1">
        <v>45155</v>
      </c>
      <c r="B627" s="1" t="str">
        <f t="shared" si="36"/>
        <v>Aug</v>
      </c>
      <c r="C627" s="1" t="str">
        <f t="shared" si="37"/>
        <v>2023</v>
      </c>
      <c r="D627" t="s">
        <v>38</v>
      </c>
      <c r="E627" t="s">
        <v>34</v>
      </c>
      <c r="F627" t="s">
        <v>16</v>
      </c>
      <c r="G627">
        <v>4310.3100000000004</v>
      </c>
      <c r="H627">
        <v>4633.1000000000004</v>
      </c>
      <c r="I627">
        <v>16</v>
      </c>
      <c r="J627">
        <f t="shared" si="38"/>
        <v>74129.600000000006</v>
      </c>
      <c r="K627">
        <f t="shared" si="39"/>
        <v>5164.6399999999994</v>
      </c>
      <c r="L627" t="s">
        <v>30</v>
      </c>
      <c r="M627" t="s">
        <v>31</v>
      </c>
      <c r="N627" t="s">
        <v>22</v>
      </c>
    </row>
    <row r="628" spans="1:14" x14ac:dyDescent="0.3">
      <c r="A628" s="1">
        <v>45155</v>
      </c>
      <c r="B628" s="1" t="str">
        <f t="shared" si="36"/>
        <v>Aug</v>
      </c>
      <c r="C628" s="1" t="str">
        <f t="shared" si="37"/>
        <v>2023</v>
      </c>
      <c r="D628" t="s">
        <v>14</v>
      </c>
      <c r="E628" t="s">
        <v>21</v>
      </c>
      <c r="F628" t="s">
        <v>29</v>
      </c>
      <c r="G628">
        <v>450.72</v>
      </c>
      <c r="H628">
        <v>918.17</v>
      </c>
      <c r="I628">
        <v>33</v>
      </c>
      <c r="J628">
        <f t="shared" si="38"/>
        <v>30299.609999999997</v>
      </c>
      <c r="K628">
        <f t="shared" si="39"/>
        <v>15425.849999999999</v>
      </c>
      <c r="L628" t="s">
        <v>17</v>
      </c>
      <c r="M628" t="s">
        <v>18</v>
      </c>
      <c r="N628" t="s">
        <v>19</v>
      </c>
    </row>
    <row r="629" spans="1:14" x14ac:dyDescent="0.3">
      <c r="A629" s="1">
        <v>45155</v>
      </c>
      <c r="B629" s="1" t="str">
        <f t="shared" si="36"/>
        <v>Aug</v>
      </c>
      <c r="C629" s="1" t="str">
        <f t="shared" si="37"/>
        <v>2023</v>
      </c>
      <c r="D629" t="s">
        <v>38</v>
      </c>
      <c r="E629" t="s">
        <v>21</v>
      </c>
      <c r="F629" t="s">
        <v>26</v>
      </c>
      <c r="G629">
        <v>282.94</v>
      </c>
      <c r="H629">
        <v>779.32999999999902</v>
      </c>
      <c r="I629">
        <v>7</v>
      </c>
      <c r="J629">
        <f t="shared" si="38"/>
        <v>5455.3099999999931</v>
      </c>
      <c r="K629">
        <f t="shared" si="39"/>
        <v>3474.7299999999932</v>
      </c>
      <c r="L629" t="s">
        <v>17</v>
      </c>
      <c r="M629" t="s">
        <v>31</v>
      </c>
      <c r="N629" t="s">
        <v>19</v>
      </c>
    </row>
    <row r="630" spans="1:14" x14ac:dyDescent="0.3">
      <c r="A630" s="1">
        <v>45155</v>
      </c>
      <c r="B630" s="1" t="str">
        <f t="shared" si="36"/>
        <v>Aug</v>
      </c>
      <c r="C630" s="1" t="str">
        <f t="shared" si="37"/>
        <v>2023</v>
      </c>
      <c r="D630" t="s">
        <v>33</v>
      </c>
      <c r="E630" t="s">
        <v>25</v>
      </c>
      <c r="F630" t="s">
        <v>26</v>
      </c>
      <c r="G630">
        <v>2537.1999999999998</v>
      </c>
      <c r="H630">
        <v>2869.6</v>
      </c>
      <c r="I630">
        <v>21</v>
      </c>
      <c r="J630">
        <f t="shared" si="38"/>
        <v>60261.599999999999</v>
      </c>
      <c r="K630">
        <f t="shared" si="39"/>
        <v>6980.4000000000015</v>
      </c>
      <c r="L630" t="s">
        <v>30</v>
      </c>
      <c r="M630" t="s">
        <v>27</v>
      </c>
      <c r="N630" t="s">
        <v>22</v>
      </c>
    </row>
    <row r="631" spans="1:14" x14ac:dyDescent="0.3">
      <c r="A631" s="1">
        <v>45155</v>
      </c>
      <c r="B631" s="1" t="str">
        <f t="shared" si="36"/>
        <v>Aug</v>
      </c>
      <c r="C631" s="1" t="str">
        <f t="shared" si="37"/>
        <v>2023</v>
      </c>
      <c r="D631" t="s">
        <v>14</v>
      </c>
      <c r="E631" t="s">
        <v>34</v>
      </c>
      <c r="F631" t="s">
        <v>29</v>
      </c>
      <c r="G631">
        <v>3975.99</v>
      </c>
      <c r="H631">
        <v>4422.59</v>
      </c>
      <c r="I631">
        <v>16</v>
      </c>
      <c r="J631">
        <f t="shared" si="38"/>
        <v>70761.440000000002</v>
      </c>
      <c r="K631">
        <f t="shared" si="39"/>
        <v>7145.6000000000058</v>
      </c>
      <c r="L631" t="s">
        <v>30</v>
      </c>
      <c r="M631" t="s">
        <v>18</v>
      </c>
      <c r="N631" t="s">
        <v>19</v>
      </c>
    </row>
    <row r="632" spans="1:14" x14ac:dyDescent="0.3">
      <c r="A632" s="1">
        <v>45157</v>
      </c>
      <c r="B632" s="1" t="str">
        <f t="shared" si="36"/>
        <v>Aug</v>
      </c>
      <c r="C632" s="1" t="str">
        <f t="shared" si="37"/>
        <v>2023</v>
      </c>
      <c r="D632" t="s">
        <v>14</v>
      </c>
      <c r="E632" t="s">
        <v>21</v>
      </c>
      <c r="F632" t="s">
        <v>29</v>
      </c>
      <c r="G632">
        <v>2347.81</v>
      </c>
      <c r="H632">
        <v>2668.02</v>
      </c>
      <c r="I632">
        <v>31</v>
      </c>
      <c r="J632">
        <f t="shared" si="38"/>
        <v>82708.62</v>
      </c>
      <c r="K632">
        <f t="shared" si="39"/>
        <v>9926.510000000002</v>
      </c>
      <c r="L632" t="s">
        <v>17</v>
      </c>
      <c r="M632" t="s">
        <v>27</v>
      </c>
      <c r="N632" t="s">
        <v>22</v>
      </c>
    </row>
    <row r="633" spans="1:14" x14ac:dyDescent="0.3">
      <c r="A633" s="1">
        <v>45158</v>
      </c>
      <c r="B633" s="1" t="str">
        <f t="shared" si="36"/>
        <v>Aug</v>
      </c>
      <c r="C633" s="1" t="str">
        <f t="shared" si="37"/>
        <v>2023</v>
      </c>
      <c r="D633" t="s">
        <v>14</v>
      </c>
      <c r="E633" t="s">
        <v>15</v>
      </c>
      <c r="F633" t="s">
        <v>26</v>
      </c>
      <c r="G633">
        <v>4376.37</v>
      </c>
      <c r="H633">
        <v>4818.95</v>
      </c>
      <c r="I633">
        <v>21</v>
      </c>
      <c r="J633">
        <f t="shared" si="38"/>
        <v>101197.95</v>
      </c>
      <c r="K633">
        <f t="shared" si="39"/>
        <v>9294.1799999999985</v>
      </c>
      <c r="L633" t="s">
        <v>30</v>
      </c>
      <c r="M633" t="s">
        <v>31</v>
      </c>
      <c r="N633" t="s">
        <v>22</v>
      </c>
    </row>
    <row r="634" spans="1:14" x14ac:dyDescent="0.3">
      <c r="A634" s="1">
        <v>45159</v>
      </c>
      <c r="B634" s="1" t="str">
        <f t="shared" si="36"/>
        <v>Aug</v>
      </c>
      <c r="C634" s="1" t="str">
        <f t="shared" si="37"/>
        <v>2023</v>
      </c>
      <c r="D634" t="s">
        <v>24</v>
      </c>
      <c r="E634" t="s">
        <v>15</v>
      </c>
      <c r="F634" t="s">
        <v>16</v>
      </c>
      <c r="G634">
        <v>2346.8000000000002</v>
      </c>
      <c r="H634">
        <v>2654.65</v>
      </c>
      <c r="I634">
        <v>17</v>
      </c>
      <c r="J634">
        <f t="shared" si="38"/>
        <v>45129.05</v>
      </c>
      <c r="K634">
        <f t="shared" si="39"/>
        <v>5233.4499999999989</v>
      </c>
      <c r="L634" t="s">
        <v>30</v>
      </c>
      <c r="M634" t="s">
        <v>18</v>
      </c>
      <c r="N634" t="s">
        <v>22</v>
      </c>
    </row>
    <row r="635" spans="1:14" x14ac:dyDescent="0.3">
      <c r="A635" s="1">
        <v>45159</v>
      </c>
      <c r="B635" s="1" t="str">
        <f t="shared" si="36"/>
        <v>Aug</v>
      </c>
      <c r="C635" s="1" t="str">
        <f t="shared" si="37"/>
        <v>2023</v>
      </c>
      <c r="D635" t="s">
        <v>42</v>
      </c>
      <c r="E635" t="s">
        <v>21</v>
      </c>
      <c r="F635" t="s">
        <v>29</v>
      </c>
      <c r="G635">
        <v>710.99</v>
      </c>
      <c r="H635">
        <v>876.46</v>
      </c>
      <c r="I635">
        <v>12</v>
      </c>
      <c r="J635">
        <f t="shared" si="38"/>
        <v>10517.52</v>
      </c>
      <c r="K635">
        <f t="shared" si="39"/>
        <v>1985.6400000000003</v>
      </c>
      <c r="L635" t="s">
        <v>17</v>
      </c>
      <c r="M635" t="s">
        <v>31</v>
      </c>
      <c r="N635" t="s">
        <v>19</v>
      </c>
    </row>
    <row r="636" spans="1:14" x14ac:dyDescent="0.3">
      <c r="A636" s="1">
        <v>45159</v>
      </c>
      <c r="B636" s="1" t="str">
        <f t="shared" si="36"/>
        <v>Aug</v>
      </c>
      <c r="C636" s="1" t="str">
        <f t="shared" si="37"/>
        <v>2023</v>
      </c>
      <c r="D636" t="s">
        <v>24</v>
      </c>
      <c r="E636" t="s">
        <v>25</v>
      </c>
      <c r="F636" t="s">
        <v>35</v>
      </c>
      <c r="G636">
        <v>2316.13</v>
      </c>
      <c r="H636">
        <v>2525.27</v>
      </c>
      <c r="I636">
        <v>12</v>
      </c>
      <c r="J636">
        <f t="shared" si="38"/>
        <v>30303.239999999998</v>
      </c>
      <c r="K636">
        <f t="shared" si="39"/>
        <v>2509.6799999999985</v>
      </c>
      <c r="L636" t="s">
        <v>17</v>
      </c>
      <c r="M636" t="s">
        <v>31</v>
      </c>
      <c r="N636" t="s">
        <v>22</v>
      </c>
    </row>
    <row r="637" spans="1:14" x14ac:dyDescent="0.3">
      <c r="A637" s="1">
        <v>45160</v>
      </c>
      <c r="B637" s="1" t="str">
        <f t="shared" si="36"/>
        <v>Aug</v>
      </c>
      <c r="C637" s="1" t="str">
        <f t="shared" si="37"/>
        <v>2023</v>
      </c>
      <c r="D637" t="s">
        <v>24</v>
      </c>
      <c r="E637" t="s">
        <v>34</v>
      </c>
      <c r="F637" t="s">
        <v>29</v>
      </c>
      <c r="G637">
        <v>1742.24</v>
      </c>
      <c r="H637">
        <v>2070.52</v>
      </c>
      <c r="I637">
        <v>29</v>
      </c>
      <c r="J637">
        <f t="shared" si="38"/>
        <v>60045.08</v>
      </c>
      <c r="K637">
        <f t="shared" si="39"/>
        <v>9520.119999999999</v>
      </c>
      <c r="L637" t="s">
        <v>30</v>
      </c>
      <c r="M637" t="s">
        <v>18</v>
      </c>
      <c r="N637" t="s">
        <v>19</v>
      </c>
    </row>
    <row r="638" spans="1:14" x14ac:dyDescent="0.3">
      <c r="A638" s="1">
        <v>45161</v>
      </c>
      <c r="B638" s="1" t="str">
        <f t="shared" si="36"/>
        <v>Aug</v>
      </c>
      <c r="C638" s="1" t="str">
        <f t="shared" si="37"/>
        <v>2023</v>
      </c>
      <c r="D638" t="s">
        <v>14</v>
      </c>
      <c r="E638" t="s">
        <v>34</v>
      </c>
      <c r="F638" t="s">
        <v>35</v>
      </c>
      <c r="G638">
        <v>282.61</v>
      </c>
      <c r="H638">
        <v>548.25</v>
      </c>
      <c r="I638">
        <v>4</v>
      </c>
      <c r="J638">
        <f t="shared" si="38"/>
        <v>2193</v>
      </c>
      <c r="K638">
        <f t="shared" si="39"/>
        <v>1062.56</v>
      </c>
      <c r="L638" t="s">
        <v>30</v>
      </c>
      <c r="M638" t="s">
        <v>31</v>
      </c>
      <c r="N638" t="s">
        <v>19</v>
      </c>
    </row>
    <row r="639" spans="1:14" x14ac:dyDescent="0.3">
      <c r="A639" s="1">
        <v>45161</v>
      </c>
      <c r="B639" s="1" t="str">
        <f t="shared" si="36"/>
        <v>Aug</v>
      </c>
      <c r="C639" s="1" t="str">
        <f t="shared" si="37"/>
        <v>2023</v>
      </c>
      <c r="D639" t="s">
        <v>24</v>
      </c>
      <c r="E639" t="s">
        <v>34</v>
      </c>
      <c r="F639" t="s">
        <v>26</v>
      </c>
      <c r="G639">
        <v>2520.9699999999998</v>
      </c>
      <c r="H639">
        <v>2707.1099999999901</v>
      </c>
      <c r="I639">
        <v>25</v>
      </c>
      <c r="J639">
        <f t="shared" si="38"/>
        <v>67677.749999999753</v>
      </c>
      <c r="K639">
        <f t="shared" si="39"/>
        <v>4653.4999999997581</v>
      </c>
      <c r="L639" t="s">
        <v>30</v>
      </c>
      <c r="M639" t="s">
        <v>18</v>
      </c>
      <c r="N639" t="s">
        <v>22</v>
      </c>
    </row>
    <row r="640" spans="1:14" x14ac:dyDescent="0.3">
      <c r="A640" s="1">
        <v>45162</v>
      </c>
      <c r="B640" s="1" t="str">
        <f t="shared" si="36"/>
        <v>Aug</v>
      </c>
      <c r="C640" s="1" t="str">
        <f t="shared" si="37"/>
        <v>2023</v>
      </c>
      <c r="D640" t="s">
        <v>14</v>
      </c>
      <c r="E640" t="s">
        <v>25</v>
      </c>
      <c r="F640" t="s">
        <v>29</v>
      </c>
      <c r="G640">
        <v>4330.03</v>
      </c>
      <c r="H640">
        <v>4467.75</v>
      </c>
      <c r="I640">
        <v>39</v>
      </c>
      <c r="J640">
        <f t="shared" si="38"/>
        <v>174242.25</v>
      </c>
      <c r="K640">
        <f t="shared" si="39"/>
        <v>5371.0800000000099</v>
      </c>
      <c r="L640" t="s">
        <v>30</v>
      </c>
      <c r="M640" t="s">
        <v>31</v>
      </c>
      <c r="N640" t="s">
        <v>22</v>
      </c>
    </row>
    <row r="641" spans="1:14" x14ac:dyDescent="0.3">
      <c r="A641" s="1">
        <v>45162</v>
      </c>
      <c r="B641" s="1" t="str">
        <f t="shared" si="36"/>
        <v>Aug</v>
      </c>
      <c r="C641" s="1" t="str">
        <f t="shared" si="37"/>
        <v>2023</v>
      </c>
      <c r="D641" t="s">
        <v>33</v>
      </c>
      <c r="E641" t="s">
        <v>21</v>
      </c>
      <c r="F641" t="s">
        <v>29</v>
      </c>
      <c r="G641">
        <v>967.77</v>
      </c>
      <c r="H641">
        <v>1414.88</v>
      </c>
      <c r="I641">
        <v>42</v>
      </c>
      <c r="J641">
        <f t="shared" si="38"/>
        <v>59424.960000000006</v>
      </c>
      <c r="K641">
        <f t="shared" si="39"/>
        <v>18778.620000000006</v>
      </c>
      <c r="L641" t="s">
        <v>30</v>
      </c>
      <c r="M641" t="s">
        <v>27</v>
      </c>
      <c r="N641" t="s">
        <v>19</v>
      </c>
    </row>
    <row r="642" spans="1:14" x14ac:dyDescent="0.3">
      <c r="A642" s="1">
        <v>45162</v>
      </c>
      <c r="B642" s="1" t="str">
        <f t="shared" ref="B642:B705" si="40">TEXT(A642,"MMM")</f>
        <v>Aug</v>
      </c>
      <c r="C642" s="1" t="str">
        <f t="shared" ref="C642:C705" si="41">TEXT(A642,"YYYY")</f>
        <v>2023</v>
      </c>
      <c r="D642" t="s">
        <v>42</v>
      </c>
      <c r="E642" t="s">
        <v>15</v>
      </c>
      <c r="F642" t="s">
        <v>29</v>
      </c>
      <c r="G642">
        <v>3808.23</v>
      </c>
      <c r="H642">
        <v>3891.62</v>
      </c>
      <c r="I642">
        <v>8</v>
      </c>
      <c r="J642">
        <f t="shared" ref="J642:J705" si="42">(I642*H642)</f>
        <v>31132.959999999999</v>
      </c>
      <c r="K642">
        <f t="shared" ref="K642:K705" si="43">(H642-G642)*I642</f>
        <v>667.11999999999898</v>
      </c>
      <c r="L642" t="s">
        <v>17</v>
      </c>
      <c r="M642" t="s">
        <v>27</v>
      </c>
      <c r="N642" t="s">
        <v>19</v>
      </c>
    </row>
    <row r="643" spans="1:14" x14ac:dyDescent="0.3">
      <c r="A643" s="1">
        <v>45162</v>
      </c>
      <c r="B643" s="1" t="str">
        <f t="shared" si="40"/>
        <v>Aug</v>
      </c>
      <c r="C643" s="1" t="str">
        <f t="shared" si="41"/>
        <v>2023</v>
      </c>
      <c r="D643" t="s">
        <v>14</v>
      </c>
      <c r="E643" t="s">
        <v>21</v>
      </c>
      <c r="F643" t="s">
        <v>16</v>
      </c>
      <c r="G643">
        <v>2742.67</v>
      </c>
      <c r="H643">
        <v>2979.64</v>
      </c>
      <c r="I643">
        <v>17</v>
      </c>
      <c r="J643">
        <f t="shared" si="42"/>
        <v>50653.88</v>
      </c>
      <c r="K643">
        <f t="shared" si="43"/>
        <v>4028.4899999999966</v>
      </c>
      <c r="L643" t="s">
        <v>17</v>
      </c>
      <c r="M643" t="s">
        <v>18</v>
      </c>
      <c r="N643" t="s">
        <v>22</v>
      </c>
    </row>
    <row r="644" spans="1:14" x14ac:dyDescent="0.3">
      <c r="A644" s="1">
        <v>45162</v>
      </c>
      <c r="B644" s="1" t="str">
        <f t="shared" si="40"/>
        <v>Aug</v>
      </c>
      <c r="C644" s="1" t="str">
        <f t="shared" si="41"/>
        <v>2023</v>
      </c>
      <c r="D644" t="s">
        <v>38</v>
      </c>
      <c r="E644" t="s">
        <v>15</v>
      </c>
      <c r="F644" t="s">
        <v>16</v>
      </c>
      <c r="G644">
        <v>4231.75</v>
      </c>
      <c r="H644">
        <v>4727.75</v>
      </c>
      <c r="I644">
        <v>4</v>
      </c>
      <c r="J644">
        <f t="shared" si="42"/>
        <v>18911</v>
      </c>
      <c r="K644">
        <f t="shared" si="43"/>
        <v>1984</v>
      </c>
      <c r="L644" t="s">
        <v>17</v>
      </c>
      <c r="M644" t="s">
        <v>31</v>
      </c>
      <c r="N644" t="s">
        <v>22</v>
      </c>
    </row>
    <row r="645" spans="1:14" x14ac:dyDescent="0.3">
      <c r="A645" s="1">
        <v>45162</v>
      </c>
      <c r="B645" s="1" t="str">
        <f t="shared" si="40"/>
        <v>Aug</v>
      </c>
      <c r="C645" s="1" t="str">
        <f t="shared" si="41"/>
        <v>2023</v>
      </c>
      <c r="D645" t="s">
        <v>14</v>
      </c>
      <c r="E645" t="s">
        <v>21</v>
      </c>
      <c r="F645" t="s">
        <v>26</v>
      </c>
      <c r="G645">
        <v>729.27</v>
      </c>
      <c r="H645">
        <v>999.18</v>
      </c>
      <c r="I645">
        <v>20</v>
      </c>
      <c r="J645">
        <f t="shared" si="42"/>
        <v>19983.599999999999</v>
      </c>
      <c r="K645">
        <f t="shared" si="43"/>
        <v>5398.1999999999989</v>
      </c>
      <c r="L645" t="s">
        <v>30</v>
      </c>
      <c r="M645" t="s">
        <v>27</v>
      </c>
      <c r="N645" t="s">
        <v>19</v>
      </c>
    </row>
    <row r="646" spans="1:14" x14ac:dyDescent="0.3">
      <c r="A646" s="1">
        <v>45163</v>
      </c>
      <c r="B646" s="1" t="str">
        <f t="shared" si="40"/>
        <v>Aug</v>
      </c>
      <c r="C646" s="1" t="str">
        <f t="shared" si="41"/>
        <v>2023</v>
      </c>
      <c r="D646" t="s">
        <v>24</v>
      </c>
      <c r="E646" t="s">
        <v>25</v>
      </c>
      <c r="F646" t="s">
        <v>35</v>
      </c>
      <c r="G646">
        <v>1586.02</v>
      </c>
      <c r="H646">
        <v>2047.13</v>
      </c>
      <c r="I646">
        <v>42</v>
      </c>
      <c r="J646">
        <f t="shared" si="42"/>
        <v>85979.46</v>
      </c>
      <c r="K646">
        <f t="shared" si="43"/>
        <v>19366.620000000006</v>
      </c>
      <c r="L646" t="s">
        <v>30</v>
      </c>
      <c r="M646" t="s">
        <v>18</v>
      </c>
      <c r="N646" t="s">
        <v>22</v>
      </c>
    </row>
    <row r="647" spans="1:14" x14ac:dyDescent="0.3">
      <c r="A647" s="1">
        <v>45163</v>
      </c>
      <c r="B647" s="1" t="str">
        <f t="shared" si="40"/>
        <v>Aug</v>
      </c>
      <c r="C647" s="1" t="str">
        <f t="shared" si="41"/>
        <v>2023</v>
      </c>
      <c r="D647" t="s">
        <v>14</v>
      </c>
      <c r="E647" t="s">
        <v>15</v>
      </c>
      <c r="F647" t="s">
        <v>35</v>
      </c>
      <c r="G647">
        <v>4673.1899999999996</v>
      </c>
      <c r="H647">
        <v>4761.1799999999903</v>
      </c>
      <c r="I647">
        <v>23</v>
      </c>
      <c r="J647">
        <f t="shared" si="42"/>
        <v>109507.13999999978</v>
      </c>
      <c r="K647">
        <f t="shared" si="43"/>
        <v>2023.7699999997858</v>
      </c>
      <c r="L647" t="s">
        <v>17</v>
      </c>
      <c r="M647" t="s">
        <v>31</v>
      </c>
      <c r="N647" t="s">
        <v>22</v>
      </c>
    </row>
    <row r="648" spans="1:14" x14ac:dyDescent="0.3">
      <c r="A648" s="1">
        <v>45163</v>
      </c>
      <c r="B648" s="1" t="str">
        <f t="shared" si="40"/>
        <v>Aug</v>
      </c>
      <c r="C648" s="1" t="str">
        <f t="shared" si="41"/>
        <v>2023</v>
      </c>
      <c r="D648" t="s">
        <v>14</v>
      </c>
      <c r="E648" t="s">
        <v>25</v>
      </c>
      <c r="F648" t="s">
        <v>26</v>
      </c>
      <c r="G648">
        <v>1604.52</v>
      </c>
      <c r="H648">
        <v>1756.34</v>
      </c>
      <c r="I648">
        <v>31</v>
      </c>
      <c r="J648">
        <f t="shared" si="42"/>
        <v>54446.54</v>
      </c>
      <c r="K648">
        <f t="shared" si="43"/>
        <v>4706.4199999999983</v>
      </c>
      <c r="L648" t="s">
        <v>17</v>
      </c>
      <c r="M648" t="s">
        <v>18</v>
      </c>
      <c r="N648" t="s">
        <v>22</v>
      </c>
    </row>
    <row r="649" spans="1:14" x14ac:dyDescent="0.3">
      <c r="A649" s="1">
        <v>45163</v>
      </c>
      <c r="B649" s="1" t="str">
        <f t="shared" si="40"/>
        <v>Aug</v>
      </c>
      <c r="C649" s="1" t="str">
        <f t="shared" si="41"/>
        <v>2023</v>
      </c>
      <c r="D649" t="s">
        <v>33</v>
      </c>
      <c r="E649" t="s">
        <v>25</v>
      </c>
      <c r="F649" t="s">
        <v>26</v>
      </c>
      <c r="G649">
        <v>1517.4</v>
      </c>
      <c r="H649">
        <v>1545.02</v>
      </c>
      <c r="I649">
        <v>12</v>
      </c>
      <c r="J649">
        <f t="shared" si="42"/>
        <v>18540.239999999998</v>
      </c>
      <c r="K649">
        <f t="shared" si="43"/>
        <v>331.43999999999869</v>
      </c>
      <c r="L649" t="s">
        <v>30</v>
      </c>
      <c r="M649" t="s">
        <v>27</v>
      </c>
      <c r="N649" t="s">
        <v>22</v>
      </c>
    </row>
    <row r="650" spans="1:14" x14ac:dyDescent="0.3">
      <c r="A650" s="1">
        <v>45164</v>
      </c>
      <c r="B650" s="1" t="str">
        <f t="shared" si="40"/>
        <v>Aug</v>
      </c>
      <c r="C650" s="1" t="str">
        <f t="shared" si="41"/>
        <v>2023</v>
      </c>
      <c r="D650" t="s">
        <v>24</v>
      </c>
      <c r="E650" t="s">
        <v>21</v>
      </c>
      <c r="F650" t="s">
        <v>26</v>
      </c>
      <c r="G650">
        <v>2471.73</v>
      </c>
      <c r="H650">
        <v>2568.73</v>
      </c>
      <c r="I650">
        <v>17</v>
      </c>
      <c r="J650">
        <f t="shared" si="42"/>
        <v>43668.41</v>
      </c>
      <c r="K650">
        <f t="shared" si="43"/>
        <v>1649</v>
      </c>
      <c r="L650" t="s">
        <v>30</v>
      </c>
      <c r="M650" t="s">
        <v>18</v>
      </c>
      <c r="N650" t="s">
        <v>22</v>
      </c>
    </row>
    <row r="651" spans="1:14" x14ac:dyDescent="0.3">
      <c r="A651" s="1">
        <v>45165</v>
      </c>
      <c r="B651" s="1" t="str">
        <f t="shared" si="40"/>
        <v>Aug</v>
      </c>
      <c r="C651" s="1" t="str">
        <f t="shared" si="41"/>
        <v>2023</v>
      </c>
      <c r="D651" t="s">
        <v>24</v>
      </c>
      <c r="E651" t="s">
        <v>25</v>
      </c>
      <c r="F651" t="s">
        <v>29</v>
      </c>
      <c r="G651">
        <v>2687.49</v>
      </c>
      <c r="H651">
        <v>3001.56</v>
      </c>
      <c r="I651">
        <v>40</v>
      </c>
      <c r="J651">
        <f t="shared" si="42"/>
        <v>120062.39999999999</v>
      </c>
      <c r="K651">
        <f t="shared" si="43"/>
        <v>12562.800000000007</v>
      </c>
      <c r="L651" t="s">
        <v>17</v>
      </c>
      <c r="M651" t="s">
        <v>27</v>
      </c>
      <c r="N651" t="s">
        <v>19</v>
      </c>
    </row>
    <row r="652" spans="1:14" x14ac:dyDescent="0.3">
      <c r="A652" s="1">
        <v>45165</v>
      </c>
      <c r="B652" s="1" t="str">
        <f t="shared" si="40"/>
        <v>Aug</v>
      </c>
      <c r="C652" s="1" t="str">
        <f t="shared" si="41"/>
        <v>2023</v>
      </c>
      <c r="D652" t="s">
        <v>33</v>
      </c>
      <c r="E652" t="s">
        <v>15</v>
      </c>
      <c r="F652" t="s">
        <v>26</v>
      </c>
      <c r="G652">
        <v>3591.14</v>
      </c>
      <c r="H652">
        <v>3822.99</v>
      </c>
      <c r="I652">
        <v>18</v>
      </c>
      <c r="J652">
        <f t="shared" si="42"/>
        <v>68813.819999999992</v>
      </c>
      <c r="K652">
        <f t="shared" si="43"/>
        <v>4173.2999999999984</v>
      </c>
      <c r="L652" t="s">
        <v>17</v>
      </c>
      <c r="M652" t="s">
        <v>31</v>
      </c>
      <c r="N652" t="s">
        <v>19</v>
      </c>
    </row>
    <row r="653" spans="1:14" x14ac:dyDescent="0.3">
      <c r="A653" s="1">
        <v>45165</v>
      </c>
      <c r="B653" s="1" t="str">
        <f t="shared" si="40"/>
        <v>Aug</v>
      </c>
      <c r="C653" s="1" t="str">
        <f t="shared" si="41"/>
        <v>2023</v>
      </c>
      <c r="D653" t="s">
        <v>38</v>
      </c>
      <c r="E653" t="s">
        <v>15</v>
      </c>
      <c r="F653" t="s">
        <v>29</v>
      </c>
      <c r="G653">
        <v>444.05</v>
      </c>
      <c r="H653">
        <v>584.44000000000005</v>
      </c>
      <c r="I653">
        <v>19</v>
      </c>
      <c r="J653">
        <f t="shared" si="42"/>
        <v>11104.36</v>
      </c>
      <c r="K653">
        <f t="shared" si="43"/>
        <v>2667.4100000000008</v>
      </c>
      <c r="L653" t="s">
        <v>17</v>
      </c>
      <c r="M653" t="s">
        <v>18</v>
      </c>
      <c r="N653" t="s">
        <v>22</v>
      </c>
    </row>
    <row r="654" spans="1:14" x14ac:dyDescent="0.3">
      <c r="A654" s="1">
        <v>45167</v>
      </c>
      <c r="B654" s="1" t="str">
        <f t="shared" si="40"/>
        <v>Aug</v>
      </c>
      <c r="C654" s="1" t="str">
        <f t="shared" si="41"/>
        <v>2023</v>
      </c>
      <c r="D654" t="s">
        <v>38</v>
      </c>
      <c r="E654" t="s">
        <v>25</v>
      </c>
      <c r="F654" t="s">
        <v>29</v>
      </c>
      <c r="G654">
        <v>1139.45</v>
      </c>
      <c r="H654">
        <v>1454.41</v>
      </c>
      <c r="I654">
        <v>27</v>
      </c>
      <c r="J654">
        <f t="shared" si="42"/>
        <v>39269.07</v>
      </c>
      <c r="K654">
        <f t="shared" si="43"/>
        <v>8503.9200000000019</v>
      </c>
      <c r="L654" t="s">
        <v>17</v>
      </c>
      <c r="M654" t="s">
        <v>27</v>
      </c>
      <c r="N654" t="s">
        <v>19</v>
      </c>
    </row>
    <row r="655" spans="1:14" x14ac:dyDescent="0.3">
      <c r="A655" s="1">
        <v>45167</v>
      </c>
      <c r="B655" s="1" t="str">
        <f t="shared" si="40"/>
        <v>Aug</v>
      </c>
      <c r="C655" s="1" t="str">
        <f t="shared" si="41"/>
        <v>2023</v>
      </c>
      <c r="D655" t="s">
        <v>42</v>
      </c>
      <c r="E655" t="s">
        <v>21</v>
      </c>
      <c r="F655" t="s">
        <v>29</v>
      </c>
      <c r="G655">
        <v>4933.1099999999997</v>
      </c>
      <c r="H655">
        <v>5245.86</v>
      </c>
      <c r="I655">
        <v>44</v>
      </c>
      <c r="J655">
        <f t="shared" si="42"/>
        <v>230817.84</v>
      </c>
      <c r="K655">
        <f t="shared" si="43"/>
        <v>13761</v>
      </c>
      <c r="L655" t="s">
        <v>17</v>
      </c>
      <c r="M655" t="s">
        <v>27</v>
      </c>
      <c r="N655" t="s">
        <v>22</v>
      </c>
    </row>
    <row r="656" spans="1:14" x14ac:dyDescent="0.3">
      <c r="A656" s="1">
        <v>45168</v>
      </c>
      <c r="B656" s="1" t="str">
        <f t="shared" si="40"/>
        <v>Aug</v>
      </c>
      <c r="C656" s="1" t="str">
        <f t="shared" si="41"/>
        <v>2023</v>
      </c>
      <c r="D656" t="s">
        <v>14</v>
      </c>
      <c r="E656" t="s">
        <v>34</v>
      </c>
      <c r="F656" t="s">
        <v>26</v>
      </c>
      <c r="G656">
        <v>504.3</v>
      </c>
      <c r="H656">
        <v>735.95</v>
      </c>
      <c r="I656">
        <v>14</v>
      </c>
      <c r="J656">
        <f t="shared" si="42"/>
        <v>10303.300000000001</v>
      </c>
      <c r="K656">
        <f t="shared" si="43"/>
        <v>3243.1000000000004</v>
      </c>
      <c r="L656" t="s">
        <v>17</v>
      </c>
      <c r="M656" t="s">
        <v>18</v>
      </c>
      <c r="N656" t="s">
        <v>22</v>
      </c>
    </row>
    <row r="657" spans="1:14" x14ac:dyDescent="0.3">
      <c r="A657" s="1">
        <v>45168</v>
      </c>
      <c r="B657" s="1" t="str">
        <f t="shared" si="40"/>
        <v>Aug</v>
      </c>
      <c r="C657" s="1" t="str">
        <f t="shared" si="41"/>
        <v>2023</v>
      </c>
      <c r="D657" t="s">
        <v>42</v>
      </c>
      <c r="E657" t="s">
        <v>21</v>
      </c>
      <c r="F657" t="s">
        <v>35</v>
      </c>
      <c r="G657">
        <v>61.5</v>
      </c>
      <c r="H657">
        <v>258.91999999999899</v>
      </c>
      <c r="I657">
        <v>25</v>
      </c>
      <c r="J657">
        <f t="shared" si="42"/>
        <v>6472.9999999999745</v>
      </c>
      <c r="K657">
        <f t="shared" si="43"/>
        <v>4935.4999999999745</v>
      </c>
      <c r="L657" t="s">
        <v>30</v>
      </c>
      <c r="M657" t="s">
        <v>31</v>
      </c>
      <c r="N657" t="s">
        <v>19</v>
      </c>
    </row>
    <row r="658" spans="1:14" x14ac:dyDescent="0.3">
      <c r="A658" s="1">
        <v>45169</v>
      </c>
      <c r="B658" s="1" t="str">
        <f t="shared" si="40"/>
        <v>Aug</v>
      </c>
      <c r="C658" s="1" t="str">
        <f t="shared" si="41"/>
        <v>2023</v>
      </c>
      <c r="D658" t="s">
        <v>42</v>
      </c>
      <c r="E658" t="s">
        <v>34</v>
      </c>
      <c r="F658" t="s">
        <v>35</v>
      </c>
      <c r="G658">
        <v>2315.83</v>
      </c>
      <c r="H658">
        <v>2333.19</v>
      </c>
      <c r="I658">
        <v>1</v>
      </c>
      <c r="J658">
        <f t="shared" si="42"/>
        <v>2333.19</v>
      </c>
      <c r="K658">
        <f t="shared" si="43"/>
        <v>17.360000000000127</v>
      </c>
      <c r="L658" t="s">
        <v>30</v>
      </c>
      <c r="M658" t="s">
        <v>18</v>
      </c>
      <c r="N658" t="s">
        <v>22</v>
      </c>
    </row>
    <row r="659" spans="1:14" x14ac:dyDescent="0.3">
      <c r="A659" s="1">
        <v>45169</v>
      </c>
      <c r="B659" s="1" t="str">
        <f t="shared" si="40"/>
        <v>Aug</v>
      </c>
      <c r="C659" s="1" t="str">
        <f t="shared" si="41"/>
        <v>2023</v>
      </c>
      <c r="D659" t="s">
        <v>42</v>
      </c>
      <c r="E659" t="s">
        <v>34</v>
      </c>
      <c r="F659" t="s">
        <v>35</v>
      </c>
      <c r="G659">
        <v>1156.8800000000001</v>
      </c>
      <c r="H659">
        <v>1454.68</v>
      </c>
      <c r="I659">
        <v>25</v>
      </c>
      <c r="J659">
        <f t="shared" si="42"/>
        <v>36367</v>
      </c>
      <c r="K659">
        <f t="shared" si="43"/>
        <v>7444.9999999999991</v>
      </c>
      <c r="L659" t="s">
        <v>17</v>
      </c>
      <c r="M659" t="s">
        <v>31</v>
      </c>
      <c r="N659" t="s">
        <v>19</v>
      </c>
    </row>
    <row r="660" spans="1:14" x14ac:dyDescent="0.3">
      <c r="A660" s="1">
        <v>45169</v>
      </c>
      <c r="B660" s="1" t="str">
        <f t="shared" si="40"/>
        <v>Aug</v>
      </c>
      <c r="C660" s="1" t="str">
        <f t="shared" si="41"/>
        <v>2023</v>
      </c>
      <c r="D660" t="s">
        <v>38</v>
      </c>
      <c r="E660" t="s">
        <v>15</v>
      </c>
      <c r="F660" t="s">
        <v>16</v>
      </c>
      <c r="G660">
        <v>2055.2800000000002</v>
      </c>
      <c r="H660">
        <v>2449.64</v>
      </c>
      <c r="I660">
        <v>28</v>
      </c>
      <c r="J660">
        <f t="shared" si="42"/>
        <v>68589.919999999998</v>
      </c>
      <c r="K660">
        <f t="shared" si="43"/>
        <v>11042.079999999991</v>
      </c>
      <c r="L660" t="s">
        <v>30</v>
      </c>
      <c r="M660" t="s">
        <v>31</v>
      </c>
      <c r="N660" t="s">
        <v>19</v>
      </c>
    </row>
    <row r="661" spans="1:14" x14ac:dyDescent="0.3">
      <c r="A661" s="1">
        <v>45169</v>
      </c>
      <c r="B661" s="1" t="str">
        <f t="shared" si="40"/>
        <v>Aug</v>
      </c>
      <c r="C661" s="1" t="str">
        <f t="shared" si="41"/>
        <v>2023</v>
      </c>
      <c r="D661" t="s">
        <v>42</v>
      </c>
      <c r="E661" t="s">
        <v>15</v>
      </c>
      <c r="F661" t="s">
        <v>26</v>
      </c>
      <c r="G661">
        <v>3333.64</v>
      </c>
      <c r="H661">
        <v>3764.52</v>
      </c>
      <c r="I661">
        <v>35</v>
      </c>
      <c r="J661">
        <f t="shared" si="42"/>
        <v>131758.20000000001</v>
      </c>
      <c r="K661">
        <f t="shared" si="43"/>
        <v>15080.800000000003</v>
      </c>
      <c r="L661" t="s">
        <v>17</v>
      </c>
      <c r="M661" t="s">
        <v>31</v>
      </c>
      <c r="N661" t="s">
        <v>19</v>
      </c>
    </row>
    <row r="662" spans="1:14" x14ac:dyDescent="0.3">
      <c r="A662" s="1">
        <v>45169</v>
      </c>
      <c r="B662" s="1" t="str">
        <f t="shared" si="40"/>
        <v>Aug</v>
      </c>
      <c r="C662" s="1" t="str">
        <f t="shared" si="41"/>
        <v>2023</v>
      </c>
      <c r="D662" t="s">
        <v>38</v>
      </c>
      <c r="E662" t="s">
        <v>25</v>
      </c>
      <c r="F662" t="s">
        <v>26</v>
      </c>
      <c r="G662">
        <v>4284.9799999999996</v>
      </c>
      <c r="H662">
        <v>4462.3999999999996</v>
      </c>
      <c r="I662">
        <v>47</v>
      </c>
      <c r="J662">
        <f t="shared" si="42"/>
        <v>209732.8</v>
      </c>
      <c r="K662">
        <f t="shared" si="43"/>
        <v>8338.7400000000034</v>
      </c>
      <c r="L662" t="s">
        <v>30</v>
      </c>
      <c r="M662" t="s">
        <v>31</v>
      </c>
      <c r="N662" t="s">
        <v>22</v>
      </c>
    </row>
    <row r="663" spans="1:14" x14ac:dyDescent="0.3">
      <c r="A663" s="1">
        <v>45170</v>
      </c>
      <c r="B663" s="1" t="str">
        <f t="shared" si="40"/>
        <v>Sep</v>
      </c>
      <c r="C663" s="1" t="str">
        <f t="shared" si="41"/>
        <v>2023</v>
      </c>
      <c r="D663" t="s">
        <v>24</v>
      </c>
      <c r="E663" t="s">
        <v>21</v>
      </c>
      <c r="F663" t="s">
        <v>29</v>
      </c>
      <c r="G663">
        <v>97.24</v>
      </c>
      <c r="H663">
        <v>487.03</v>
      </c>
      <c r="I663">
        <v>16</v>
      </c>
      <c r="J663">
        <f t="shared" si="42"/>
        <v>7792.48</v>
      </c>
      <c r="K663">
        <f t="shared" si="43"/>
        <v>6236.6399999999994</v>
      </c>
      <c r="L663" t="s">
        <v>30</v>
      </c>
      <c r="M663" t="s">
        <v>27</v>
      </c>
      <c r="N663" t="s">
        <v>22</v>
      </c>
    </row>
    <row r="664" spans="1:14" x14ac:dyDescent="0.3">
      <c r="A664" s="1">
        <v>45170</v>
      </c>
      <c r="B664" s="1" t="str">
        <f t="shared" si="40"/>
        <v>Sep</v>
      </c>
      <c r="C664" s="1" t="str">
        <f t="shared" si="41"/>
        <v>2023</v>
      </c>
      <c r="D664" t="s">
        <v>33</v>
      </c>
      <c r="E664" t="s">
        <v>21</v>
      </c>
      <c r="F664" t="s">
        <v>35</v>
      </c>
      <c r="G664">
        <v>4075.08</v>
      </c>
      <c r="H664">
        <v>4262.21</v>
      </c>
      <c r="I664">
        <v>17</v>
      </c>
      <c r="J664">
        <f t="shared" si="42"/>
        <v>72457.570000000007</v>
      </c>
      <c r="K664">
        <f t="shared" si="43"/>
        <v>3181.2100000000019</v>
      </c>
      <c r="L664" t="s">
        <v>30</v>
      </c>
      <c r="M664" t="s">
        <v>18</v>
      </c>
      <c r="N664" t="s">
        <v>19</v>
      </c>
    </row>
    <row r="665" spans="1:14" x14ac:dyDescent="0.3">
      <c r="A665" s="1">
        <v>45171</v>
      </c>
      <c r="B665" s="1" t="str">
        <f t="shared" si="40"/>
        <v>Sep</v>
      </c>
      <c r="C665" s="1" t="str">
        <f t="shared" si="41"/>
        <v>2023</v>
      </c>
      <c r="D665" t="s">
        <v>24</v>
      </c>
      <c r="E665" t="s">
        <v>25</v>
      </c>
      <c r="F665" t="s">
        <v>16</v>
      </c>
      <c r="G665">
        <v>760.55</v>
      </c>
      <c r="H665">
        <v>1086.8899999999901</v>
      </c>
      <c r="I665">
        <v>9</v>
      </c>
      <c r="J665">
        <f t="shared" si="42"/>
        <v>9782.0099999999111</v>
      </c>
      <c r="K665">
        <f t="shared" si="43"/>
        <v>2937.0599999999113</v>
      </c>
      <c r="L665" t="s">
        <v>17</v>
      </c>
      <c r="M665" t="s">
        <v>18</v>
      </c>
      <c r="N665" t="s">
        <v>22</v>
      </c>
    </row>
    <row r="666" spans="1:14" x14ac:dyDescent="0.3">
      <c r="A666" s="1">
        <v>45172</v>
      </c>
      <c r="B666" s="1" t="str">
        <f t="shared" si="40"/>
        <v>Sep</v>
      </c>
      <c r="C666" s="1" t="str">
        <f t="shared" si="41"/>
        <v>2023</v>
      </c>
      <c r="D666" t="s">
        <v>24</v>
      </c>
      <c r="E666" t="s">
        <v>25</v>
      </c>
      <c r="F666" t="s">
        <v>35</v>
      </c>
      <c r="G666">
        <v>4775.04</v>
      </c>
      <c r="H666">
        <v>4785.66</v>
      </c>
      <c r="I666">
        <v>32</v>
      </c>
      <c r="J666">
        <f t="shared" si="42"/>
        <v>153141.12</v>
      </c>
      <c r="K666">
        <f t="shared" si="43"/>
        <v>339.83999999999651</v>
      </c>
      <c r="L666" t="s">
        <v>30</v>
      </c>
      <c r="M666" t="s">
        <v>18</v>
      </c>
      <c r="N666" t="s">
        <v>19</v>
      </c>
    </row>
    <row r="667" spans="1:14" x14ac:dyDescent="0.3">
      <c r="A667" s="1">
        <v>45172</v>
      </c>
      <c r="B667" s="1" t="str">
        <f t="shared" si="40"/>
        <v>Sep</v>
      </c>
      <c r="C667" s="1" t="str">
        <f t="shared" si="41"/>
        <v>2023</v>
      </c>
      <c r="D667" t="s">
        <v>33</v>
      </c>
      <c r="E667" t="s">
        <v>21</v>
      </c>
      <c r="F667" t="s">
        <v>35</v>
      </c>
      <c r="G667">
        <v>2538.61</v>
      </c>
      <c r="H667">
        <v>2971.75</v>
      </c>
      <c r="I667">
        <v>12</v>
      </c>
      <c r="J667">
        <f t="shared" si="42"/>
        <v>35661</v>
      </c>
      <c r="K667">
        <f t="shared" si="43"/>
        <v>5197.6799999999985</v>
      </c>
      <c r="L667" t="s">
        <v>17</v>
      </c>
      <c r="M667" t="s">
        <v>18</v>
      </c>
      <c r="N667" t="s">
        <v>19</v>
      </c>
    </row>
    <row r="668" spans="1:14" x14ac:dyDescent="0.3">
      <c r="A668" s="1">
        <v>45173</v>
      </c>
      <c r="B668" s="1" t="str">
        <f t="shared" si="40"/>
        <v>Sep</v>
      </c>
      <c r="C668" s="1" t="str">
        <f t="shared" si="41"/>
        <v>2023</v>
      </c>
      <c r="D668" t="s">
        <v>38</v>
      </c>
      <c r="E668" t="s">
        <v>34</v>
      </c>
      <c r="F668" t="s">
        <v>26</v>
      </c>
      <c r="G668">
        <v>1140.58</v>
      </c>
      <c r="H668">
        <v>1438.76</v>
      </c>
      <c r="I668">
        <v>14</v>
      </c>
      <c r="J668">
        <f t="shared" si="42"/>
        <v>20142.64</v>
      </c>
      <c r="K668">
        <f t="shared" si="43"/>
        <v>4174.5200000000004</v>
      </c>
      <c r="L668" t="s">
        <v>17</v>
      </c>
      <c r="M668" t="s">
        <v>27</v>
      </c>
      <c r="N668" t="s">
        <v>19</v>
      </c>
    </row>
    <row r="669" spans="1:14" x14ac:dyDescent="0.3">
      <c r="A669" s="1">
        <v>45173</v>
      </c>
      <c r="B669" s="1" t="str">
        <f t="shared" si="40"/>
        <v>Sep</v>
      </c>
      <c r="C669" s="1" t="str">
        <f t="shared" si="41"/>
        <v>2023</v>
      </c>
      <c r="D669" t="s">
        <v>42</v>
      </c>
      <c r="E669" t="s">
        <v>15</v>
      </c>
      <c r="F669" t="s">
        <v>35</v>
      </c>
      <c r="G669">
        <v>1236.25</v>
      </c>
      <c r="H669">
        <v>1543.38</v>
      </c>
      <c r="I669">
        <v>23</v>
      </c>
      <c r="J669">
        <f t="shared" si="42"/>
        <v>35497.740000000005</v>
      </c>
      <c r="K669">
        <f t="shared" si="43"/>
        <v>7063.9900000000025</v>
      </c>
      <c r="L669" t="s">
        <v>30</v>
      </c>
      <c r="M669" t="s">
        <v>27</v>
      </c>
      <c r="N669" t="s">
        <v>19</v>
      </c>
    </row>
    <row r="670" spans="1:14" x14ac:dyDescent="0.3">
      <c r="A670" s="1">
        <v>45173</v>
      </c>
      <c r="B670" s="1" t="str">
        <f t="shared" si="40"/>
        <v>Sep</v>
      </c>
      <c r="C670" s="1" t="str">
        <f t="shared" si="41"/>
        <v>2023</v>
      </c>
      <c r="D670" t="s">
        <v>33</v>
      </c>
      <c r="E670" t="s">
        <v>25</v>
      </c>
      <c r="F670" t="s">
        <v>26</v>
      </c>
      <c r="G670">
        <v>2085.46</v>
      </c>
      <c r="H670">
        <v>2406.58</v>
      </c>
      <c r="I670">
        <v>44</v>
      </c>
      <c r="J670">
        <f t="shared" si="42"/>
        <v>105889.51999999999</v>
      </c>
      <c r="K670">
        <f t="shared" si="43"/>
        <v>14129.279999999995</v>
      </c>
      <c r="L670" t="s">
        <v>17</v>
      </c>
      <c r="M670" t="s">
        <v>27</v>
      </c>
      <c r="N670" t="s">
        <v>22</v>
      </c>
    </row>
    <row r="671" spans="1:14" x14ac:dyDescent="0.3">
      <c r="A671" s="1">
        <v>45175</v>
      </c>
      <c r="B671" s="1" t="str">
        <f t="shared" si="40"/>
        <v>Sep</v>
      </c>
      <c r="C671" s="1" t="str">
        <f t="shared" si="41"/>
        <v>2023</v>
      </c>
      <c r="D671" t="s">
        <v>33</v>
      </c>
      <c r="E671" t="s">
        <v>34</v>
      </c>
      <c r="F671" t="s">
        <v>29</v>
      </c>
      <c r="G671">
        <v>3730</v>
      </c>
      <c r="H671">
        <v>3893.6</v>
      </c>
      <c r="I671">
        <v>4</v>
      </c>
      <c r="J671">
        <f t="shared" si="42"/>
        <v>15574.4</v>
      </c>
      <c r="K671">
        <f t="shared" si="43"/>
        <v>654.39999999999964</v>
      </c>
      <c r="L671" t="s">
        <v>30</v>
      </c>
      <c r="M671" t="s">
        <v>27</v>
      </c>
      <c r="N671" t="s">
        <v>22</v>
      </c>
    </row>
    <row r="672" spans="1:14" x14ac:dyDescent="0.3">
      <c r="A672" s="1">
        <v>45175</v>
      </c>
      <c r="B672" s="1" t="str">
        <f t="shared" si="40"/>
        <v>Sep</v>
      </c>
      <c r="C672" s="1" t="str">
        <f t="shared" si="41"/>
        <v>2023</v>
      </c>
      <c r="D672" t="s">
        <v>14</v>
      </c>
      <c r="E672" t="s">
        <v>34</v>
      </c>
      <c r="F672" t="s">
        <v>29</v>
      </c>
      <c r="G672">
        <v>2188.4499999999998</v>
      </c>
      <c r="H672">
        <v>2255.0499999999902</v>
      </c>
      <c r="I672">
        <v>45</v>
      </c>
      <c r="J672">
        <f t="shared" si="42"/>
        <v>101477.24999999956</v>
      </c>
      <c r="K672">
        <f t="shared" si="43"/>
        <v>2996.9999999995662</v>
      </c>
      <c r="L672" t="s">
        <v>30</v>
      </c>
      <c r="M672" t="s">
        <v>27</v>
      </c>
      <c r="N672" t="s">
        <v>22</v>
      </c>
    </row>
    <row r="673" spans="1:14" x14ac:dyDescent="0.3">
      <c r="A673" s="1">
        <v>45176</v>
      </c>
      <c r="B673" s="1" t="str">
        <f t="shared" si="40"/>
        <v>Sep</v>
      </c>
      <c r="C673" s="1" t="str">
        <f t="shared" si="41"/>
        <v>2023</v>
      </c>
      <c r="D673" t="s">
        <v>42</v>
      </c>
      <c r="E673" t="s">
        <v>21</v>
      </c>
      <c r="F673" t="s">
        <v>16</v>
      </c>
      <c r="G673">
        <v>919.58</v>
      </c>
      <c r="H673">
        <v>1258.3</v>
      </c>
      <c r="I673">
        <v>16</v>
      </c>
      <c r="J673">
        <f t="shared" si="42"/>
        <v>20132.8</v>
      </c>
      <c r="K673">
        <f t="shared" si="43"/>
        <v>5419.5199999999986</v>
      </c>
      <c r="L673" t="s">
        <v>17</v>
      </c>
      <c r="M673" t="s">
        <v>27</v>
      </c>
      <c r="N673" t="s">
        <v>19</v>
      </c>
    </row>
    <row r="674" spans="1:14" x14ac:dyDescent="0.3">
      <c r="A674" s="1">
        <v>45176</v>
      </c>
      <c r="B674" s="1" t="str">
        <f t="shared" si="40"/>
        <v>Sep</v>
      </c>
      <c r="C674" s="1" t="str">
        <f t="shared" si="41"/>
        <v>2023</v>
      </c>
      <c r="D674" t="s">
        <v>14</v>
      </c>
      <c r="E674" t="s">
        <v>21</v>
      </c>
      <c r="F674" t="s">
        <v>35</v>
      </c>
      <c r="G674">
        <v>2387.52</v>
      </c>
      <c r="H674">
        <v>2604.06</v>
      </c>
      <c r="I674">
        <v>27</v>
      </c>
      <c r="J674">
        <f t="shared" si="42"/>
        <v>70309.62</v>
      </c>
      <c r="K674">
        <f t="shared" si="43"/>
        <v>5846.579999999999</v>
      </c>
      <c r="L674" t="s">
        <v>17</v>
      </c>
      <c r="M674" t="s">
        <v>18</v>
      </c>
      <c r="N674" t="s">
        <v>19</v>
      </c>
    </row>
    <row r="675" spans="1:14" x14ac:dyDescent="0.3">
      <c r="A675" s="1">
        <v>45176</v>
      </c>
      <c r="B675" s="1" t="str">
        <f t="shared" si="40"/>
        <v>Sep</v>
      </c>
      <c r="C675" s="1" t="str">
        <f t="shared" si="41"/>
        <v>2023</v>
      </c>
      <c r="D675" t="s">
        <v>14</v>
      </c>
      <c r="E675" t="s">
        <v>15</v>
      </c>
      <c r="F675" t="s">
        <v>29</v>
      </c>
      <c r="G675">
        <v>1754.32</v>
      </c>
      <c r="H675">
        <v>1856.3999999999901</v>
      </c>
      <c r="I675">
        <v>37</v>
      </c>
      <c r="J675">
        <f t="shared" si="42"/>
        <v>68686.799999999639</v>
      </c>
      <c r="K675">
        <f t="shared" si="43"/>
        <v>3776.9599999996353</v>
      </c>
      <c r="L675" t="s">
        <v>30</v>
      </c>
      <c r="M675" t="s">
        <v>27</v>
      </c>
      <c r="N675" t="s">
        <v>22</v>
      </c>
    </row>
    <row r="676" spans="1:14" x14ac:dyDescent="0.3">
      <c r="A676" s="1">
        <v>45177</v>
      </c>
      <c r="B676" s="1" t="str">
        <f t="shared" si="40"/>
        <v>Sep</v>
      </c>
      <c r="C676" s="1" t="str">
        <f t="shared" si="41"/>
        <v>2023</v>
      </c>
      <c r="D676" t="s">
        <v>38</v>
      </c>
      <c r="E676" t="s">
        <v>15</v>
      </c>
      <c r="F676" t="s">
        <v>35</v>
      </c>
      <c r="G676">
        <v>4737.0600000000004</v>
      </c>
      <c r="H676">
        <v>4869.5</v>
      </c>
      <c r="I676">
        <v>9</v>
      </c>
      <c r="J676">
        <f t="shared" si="42"/>
        <v>43825.5</v>
      </c>
      <c r="K676">
        <f t="shared" si="43"/>
        <v>1191.9599999999964</v>
      </c>
      <c r="L676" t="s">
        <v>30</v>
      </c>
      <c r="M676" t="s">
        <v>18</v>
      </c>
      <c r="N676" t="s">
        <v>19</v>
      </c>
    </row>
    <row r="677" spans="1:14" x14ac:dyDescent="0.3">
      <c r="A677" s="1">
        <v>45177</v>
      </c>
      <c r="B677" s="1" t="str">
        <f t="shared" si="40"/>
        <v>Sep</v>
      </c>
      <c r="C677" s="1" t="str">
        <f t="shared" si="41"/>
        <v>2023</v>
      </c>
      <c r="D677" t="s">
        <v>38</v>
      </c>
      <c r="E677" t="s">
        <v>15</v>
      </c>
      <c r="F677" t="s">
        <v>29</v>
      </c>
      <c r="G677">
        <v>4472.3500000000004</v>
      </c>
      <c r="H677">
        <v>4770.42</v>
      </c>
      <c r="I677">
        <v>26</v>
      </c>
      <c r="J677">
        <f t="shared" si="42"/>
        <v>124030.92</v>
      </c>
      <c r="K677">
        <f t="shared" si="43"/>
        <v>7749.8199999999924</v>
      </c>
      <c r="L677" t="s">
        <v>30</v>
      </c>
      <c r="M677" t="s">
        <v>31</v>
      </c>
      <c r="N677" t="s">
        <v>22</v>
      </c>
    </row>
    <row r="678" spans="1:14" x14ac:dyDescent="0.3">
      <c r="A678" s="1">
        <v>45177</v>
      </c>
      <c r="B678" s="1" t="str">
        <f t="shared" si="40"/>
        <v>Sep</v>
      </c>
      <c r="C678" s="1" t="str">
        <f t="shared" si="41"/>
        <v>2023</v>
      </c>
      <c r="D678" t="s">
        <v>42</v>
      </c>
      <c r="E678" t="s">
        <v>15</v>
      </c>
      <c r="F678" t="s">
        <v>16</v>
      </c>
      <c r="G678">
        <v>320.73</v>
      </c>
      <c r="H678">
        <v>678.04</v>
      </c>
      <c r="I678">
        <v>30</v>
      </c>
      <c r="J678">
        <f t="shared" si="42"/>
        <v>20341.199999999997</v>
      </c>
      <c r="K678">
        <f t="shared" si="43"/>
        <v>10719.3</v>
      </c>
      <c r="L678" t="s">
        <v>17</v>
      </c>
      <c r="M678" t="s">
        <v>18</v>
      </c>
      <c r="N678" t="s">
        <v>22</v>
      </c>
    </row>
    <row r="679" spans="1:14" x14ac:dyDescent="0.3">
      <c r="A679" s="1">
        <v>45177</v>
      </c>
      <c r="B679" s="1" t="str">
        <f t="shared" si="40"/>
        <v>Sep</v>
      </c>
      <c r="C679" s="1" t="str">
        <f t="shared" si="41"/>
        <v>2023</v>
      </c>
      <c r="D679" t="s">
        <v>33</v>
      </c>
      <c r="E679" t="s">
        <v>15</v>
      </c>
      <c r="F679" t="s">
        <v>29</v>
      </c>
      <c r="G679">
        <v>193.27</v>
      </c>
      <c r="H679">
        <v>297.69</v>
      </c>
      <c r="I679">
        <v>20</v>
      </c>
      <c r="J679">
        <f t="shared" si="42"/>
        <v>5953.8</v>
      </c>
      <c r="K679">
        <f t="shared" si="43"/>
        <v>2088.3999999999996</v>
      </c>
      <c r="L679" t="s">
        <v>30</v>
      </c>
      <c r="M679" t="s">
        <v>18</v>
      </c>
      <c r="N679" t="s">
        <v>19</v>
      </c>
    </row>
    <row r="680" spans="1:14" x14ac:dyDescent="0.3">
      <c r="A680" s="1">
        <v>45177</v>
      </c>
      <c r="B680" s="1" t="str">
        <f t="shared" si="40"/>
        <v>Sep</v>
      </c>
      <c r="C680" s="1" t="str">
        <f t="shared" si="41"/>
        <v>2023</v>
      </c>
      <c r="D680" t="s">
        <v>14</v>
      </c>
      <c r="E680" t="s">
        <v>21</v>
      </c>
      <c r="F680" t="s">
        <v>16</v>
      </c>
      <c r="G680">
        <v>4089.66</v>
      </c>
      <c r="H680">
        <v>4275.96</v>
      </c>
      <c r="I680">
        <v>40</v>
      </c>
      <c r="J680">
        <f t="shared" si="42"/>
        <v>171038.4</v>
      </c>
      <c r="K680">
        <f t="shared" si="43"/>
        <v>7452.0000000000073</v>
      </c>
      <c r="L680" t="s">
        <v>30</v>
      </c>
      <c r="M680" t="s">
        <v>31</v>
      </c>
      <c r="N680" t="s">
        <v>19</v>
      </c>
    </row>
    <row r="681" spans="1:14" x14ac:dyDescent="0.3">
      <c r="A681" s="1">
        <v>45180</v>
      </c>
      <c r="B681" s="1" t="str">
        <f t="shared" si="40"/>
        <v>Sep</v>
      </c>
      <c r="C681" s="1" t="str">
        <f t="shared" si="41"/>
        <v>2023</v>
      </c>
      <c r="D681" t="s">
        <v>24</v>
      </c>
      <c r="E681" t="s">
        <v>34</v>
      </c>
      <c r="F681" t="s">
        <v>26</v>
      </c>
      <c r="G681">
        <v>4218.43</v>
      </c>
      <c r="H681">
        <v>4331.42</v>
      </c>
      <c r="I681">
        <v>22</v>
      </c>
      <c r="J681">
        <f t="shared" si="42"/>
        <v>95291.24</v>
      </c>
      <c r="K681">
        <f t="shared" si="43"/>
        <v>2485.7799999999952</v>
      </c>
      <c r="L681" t="s">
        <v>30</v>
      </c>
      <c r="M681" t="s">
        <v>27</v>
      </c>
      <c r="N681" t="s">
        <v>19</v>
      </c>
    </row>
    <row r="682" spans="1:14" x14ac:dyDescent="0.3">
      <c r="A682" s="1">
        <v>45180</v>
      </c>
      <c r="B682" s="1" t="str">
        <f t="shared" si="40"/>
        <v>Sep</v>
      </c>
      <c r="C682" s="1" t="str">
        <f t="shared" si="41"/>
        <v>2023</v>
      </c>
      <c r="D682" t="s">
        <v>38</v>
      </c>
      <c r="E682" t="s">
        <v>25</v>
      </c>
      <c r="F682" t="s">
        <v>35</v>
      </c>
      <c r="G682">
        <v>608.57000000000005</v>
      </c>
      <c r="H682">
        <v>1032.22</v>
      </c>
      <c r="I682">
        <v>23</v>
      </c>
      <c r="J682">
        <f t="shared" si="42"/>
        <v>23741.06</v>
      </c>
      <c r="K682">
        <f t="shared" si="43"/>
        <v>9743.9499999999989</v>
      </c>
      <c r="L682" t="s">
        <v>30</v>
      </c>
      <c r="M682" t="s">
        <v>18</v>
      </c>
      <c r="N682" t="s">
        <v>22</v>
      </c>
    </row>
    <row r="683" spans="1:14" x14ac:dyDescent="0.3">
      <c r="A683" s="1">
        <v>45181</v>
      </c>
      <c r="B683" s="1" t="str">
        <f t="shared" si="40"/>
        <v>Sep</v>
      </c>
      <c r="C683" s="1" t="str">
        <f t="shared" si="41"/>
        <v>2023</v>
      </c>
      <c r="D683" t="s">
        <v>33</v>
      </c>
      <c r="E683" t="s">
        <v>34</v>
      </c>
      <c r="F683" t="s">
        <v>16</v>
      </c>
      <c r="G683">
        <v>556.72</v>
      </c>
      <c r="H683">
        <v>665.07</v>
      </c>
      <c r="I683">
        <v>48</v>
      </c>
      <c r="J683">
        <f t="shared" si="42"/>
        <v>31923.360000000001</v>
      </c>
      <c r="K683">
        <f t="shared" si="43"/>
        <v>5200.8000000000011</v>
      </c>
      <c r="L683" t="s">
        <v>17</v>
      </c>
      <c r="M683" t="s">
        <v>27</v>
      </c>
      <c r="N683" t="s">
        <v>22</v>
      </c>
    </row>
    <row r="684" spans="1:14" x14ac:dyDescent="0.3">
      <c r="A684" s="1">
        <v>45182</v>
      </c>
      <c r="B684" s="1" t="str">
        <f t="shared" si="40"/>
        <v>Sep</v>
      </c>
      <c r="C684" s="1" t="str">
        <f t="shared" si="41"/>
        <v>2023</v>
      </c>
      <c r="D684" t="s">
        <v>14</v>
      </c>
      <c r="E684" t="s">
        <v>25</v>
      </c>
      <c r="F684" t="s">
        <v>16</v>
      </c>
      <c r="G684">
        <v>1941.56</v>
      </c>
      <c r="H684">
        <v>2385.48</v>
      </c>
      <c r="I684">
        <v>5</v>
      </c>
      <c r="J684">
        <f t="shared" si="42"/>
        <v>11927.4</v>
      </c>
      <c r="K684">
        <f t="shared" si="43"/>
        <v>2219.6000000000004</v>
      </c>
      <c r="L684" t="s">
        <v>17</v>
      </c>
      <c r="M684" t="s">
        <v>31</v>
      </c>
      <c r="N684" t="s">
        <v>19</v>
      </c>
    </row>
    <row r="685" spans="1:14" x14ac:dyDescent="0.3">
      <c r="A685" s="1">
        <v>45183</v>
      </c>
      <c r="B685" s="1" t="str">
        <f t="shared" si="40"/>
        <v>Sep</v>
      </c>
      <c r="C685" s="1" t="str">
        <f t="shared" si="41"/>
        <v>2023</v>
      </c>
      <c r="D685" t="s">
        <v>38</v>
      </c>
      <c r="E685" t="s">
        <v>25</v>
      </c>
      <c r="F685" t="s">
        <v>26</v>
      </c>
      <c r="G685">
        <v>2437.2600000000002</v>
      </c>
      <c r="H685">
        <v>2889.67</v>
      </c>
      <c r="I685">
        <v>39</v>
      </c>
      <c r="J685">
        <f t="shared" si="42"/>
        <v>112697.13</v>
      </c>
      <c r="K685">
        <f t="shared" si="43"/>
        <v>17643.989999999994</v>
      </c>
      <c r="L685" t="s">
        <v>17</v>
      </c>
      <c r="M685" t="s">
        <v>18</v>
      </c>
      <c r="N685" t="s">
        <v>19</v>
      </c>
    </row>
    <row r="686" spans="1:14" x14ac:dyDescent="0.3">
      <c r="A686" s="1">
        <v>45183</v>
      </c>
      <c r="B686" s="1" t="str">
        <f t="shared" si="40"/>
        <v>Sep</v>
      </c>
      <c r="C686" s="1" t="str">
        <f t="shared" si="41"/>
        <v>2023</v>
      </c>
      <c r="D686" t="s">
        <v>14</v>
      </c>
      <c r="E686" t="s">
        <v>21</v>
      </c>
      <c r="F686" t="s">
        <v>29</v>
      </c>
      <c r="G686">
        <v>3286.24</v>
      </c>
      <c r="H686">
        <v>3388.8399999999901</v>
      </c>
      <c r="I686">
        <v>15</v>
      </c>
      <c r="J686">
        <f t="shared" si="42"/>
        <v>50832.599999999853</v>
      </c>
      <c r="K686">
        <f t="shared" si="43"/>
        <v>1538.9999999998554</v>
      </c>
      <c r="L686" t="s">
        <v>17</v>
      </c>
      <c r="M686" t="s">
        <v>31</v>
      </c>
      <c r="N686" t="s">
        <v>22</v>
      </c>
    </row>
    <row r="687" spans="1:14" x14ac:dyDescent="0.3">
      <c r="A687" s="1">
        <v>45183</v>
      </c>
      <c r="B687" s="1" t="str">
        <f t="shared" si="40"/>
        <v>Sep</v>
      </c>
      <c r="C687" s="1" t="str">
        <f t="shared" si="41"/>
        <v>2023</v>
      </c>
      <c r="D687" t="s">
        <v>24</v>
      </c>
      <c r="E687" t="s">
        <v>25</v>
      </c>
      <c r="F687" t="s">
        <v>16</v>
      </c>
      <c r="G687">
        <v>173.67</v>
      </c>
      <c r="H687">
        <v>565.62</v>
      </c>
      <c r="I687">
        <v>29</v>
      </c>
      <c r="J687">
        <f t="shared" si="42"/>
        <v>16402.98</v>
      </c>
      <c r="K687">
        <f t="shared" si="43"/>
        <v>11366.550000000001</v>
      </c>
      <c r="L687" t="s">
        <v>17</v>
      </c>
      <c r="M687" t="s">
        <v>18</v>
      </c>
      <c r="N687" t="s">
        <v>19</v>
      </c>
    </row>
    <row r="688" spans="1:14" x14ac:dyDescent="0.3">
      <c r="A688" s="1">
        <v>45183</v>
      </c>
      <c r="B688" s="1" t="str">
        <f t="shared" si="40"/>
        <v>Sep</v>
      </c>
      <c r="C688" s="1" t="str">
        <f t="shared" si="41"/>
        <v>2023</v>
      </c>
      <c r="D688" t="s">
        <v>33</v>
      </c>
      <c r="E688" t="s">
        <v>21</v>
      </c>
      <c r="F688" t="s">
        <v>29</v>
      </c>
      <c r="G688">
        <v>2357.9499999999998</v>
      </c>
      <c r="H688">
        <v>2693.33</v>
      </c>
      <c r="I688">
        <v>47</v>
      </c>
      <c r="J688">
        <f t="shared" si="42"/>
        <v>126586.51</v>
      </c>
      <c r="K688">
        <f t="shared" si="43"/>
        <v>15762.860000000004</v>
      </c>
      <c r="L688" t="s">
        <v>30</v>
      </c>
      <c r="M688" t="s">
        <v>27</v>
      </c>
      <c r="N688" t="s">
        <v>19</v>
      </c>
    </row>
    <row r="689" spans="1:14" x14ac:dyDescent="0.3">
      <c r="A689" s="1">
        <v>45184</v>
      </c>
      <c r="B689" s="1" t="str">
        <f t="shared" si="40"/>
        <v>Sep</v>
      </c>
      <c r="C689" s="1" t="str">
        <f t="shared" si="41"/>
        <v>2023</v>
      </c>
      <c r="D689" t="s">
        <v>14</v>
      </c>
      <c r="E689" t="s">
        <v>25</v>
      </c>
      <c r="F689" t="s">
        <v>35</v>
      </c>
      <c r="G689">
        <v>4557.79</v>
      </c>
      <c r="H689">
        <v>5043.3599999999997</v>
      </c>
      <c r="I689">
        <v>16</v>
      </c>
      <c r="J689">
        <f t="shared" si="42"/>
        <v>80693.759999999995</v>
      </c>
      <c r="K689">
        <f t="shared" si="43"/>
        <v>7769.1199999999953</v>
      </c>
      <c r="L689" t="s">
        <v>17</v>
      </c>
      <c r="M689" t="s">
        <v>31</v>
      </c>
      <c r="N689" t="s">
        <v>22</v>
      </c>
    </row>
    <row r="690" spans="1:14" x14ac:dyDescent="0.3">
      <c r="A690" s="1">
        <v>45185</v>
      </c>
      <c r="B690" s="1" t="str">
        <f t="shared" si="40"/>
        <v>Sep</v>
      </c>
      <c r="C690" s="1" t="str">
        <f t="shared" si="41"/>
        <v>2023</v>
      </c>
      <c r="D690" t="s">
        <v>14</v>
      </c>
      <c r="E690" t="s">
        <v>15</v>
      </c>
      <c r="F690" t="s">
        <v>26</v>
      </c>
      <c r="G690">
        <v>2843.76</v>
      </c>
      <c r="H690">
        <v>3146.6</v>
      </c>
      <c r="I690">
        <v>49</v>
      </c>
      <c r="J690">
        <f t="shared" si="42"/>
        <v>154183.4</v>
      </c>
      <c r="K690">
        <f t="shared" si="43"/>
        <v>14839.159999999985</v>
      </c>
      <c r="L690" t="s">
        <v>30</v>
      </c>
      <c r="M690" t="s">
        <v>18</v>
      </c>
      <c r="N690" t="s">
        <v>22</v>
      </c>
    </row>
    <row r="691" spans="1:14" x14ac:dyDescent="0.3">
      <c r="A691" s="1">
        <v>45185</v>
      </c>
      <c r="B691" s="1" t="str">
        <f t="shared" si="40"/>
        <v>Sep</v>
      </c>
      <c r="C691" s="1" t="str">
        <f t="shared" si="41"/>
        <v>2023</v>
      </c>
      <c r="D691" t="s">
        <v>24</v>
      </c>
      <c r="E691" t="s">
        <v>25</v>
      </c>
      <c r="F691" t="s">
        <v>35</v>
      </c>
      <c r="G691">
        <v>1427.42</v>
      </c>
      <c r="H691">
        <v>1763.69</v>
      </c>
      <c r="I691">
        <v>19</v>
      </c>
      <c r="J691">
        <f t="shared" si="42"/>
        <v>33510.11</v>
      </c>
      <c r="K691">
        <f t="shared" si="43"/>
        <v>6389.1299999999992</v>
      </c>
      <c r="L691" t="s">
        <v>30</v>
      </c>
      <c r="M691" t="s">
        <v>18</v>
      </c>
      <c r="N691" t="s">
        <v>22</v>
      </c>
    </row>
    <row r="692" spans="1:14" x14ac:dyDescent="0.3">
      <c r="A692" s="1">
        <v>45186</v>
      </c>
      <c r="B692" s="1" t="str">
        <f t="shared" si="40"/>
        <v>Sep</v>
      </c>
      <c r="C692" s="1" t="str">
        <f t="shared" si="41"/>
        <v>2023</v>
      </c>
      <c r="D692" t="s">
        <v>33</v>
      </c>
      <c r="E692" t="s">
        <v>15</v>
      </c>
      <c r="F692" t="s">
        <v>35</v>
      </c>
      <c r="G692">
        <v>83.64</v>
      </c>
      <c r="H692">
        <v>528.49</v>
      </c>
      <c r="I692">
        <v>17</v>
      </c>
      <c r="J692">
        <f t="shared" si="42"/>
        <v>8984.33</v>
      </c>
      <c r="K692">
        <f t="shared" si="43"/>
        <v>7562.4500000000007</v>
      </c>
      <c r="L692" t="s">
        <v>30</v>
      </c>
      <c r="M692" t="s">
        <v>31</v>
      </c>
      <c r="N692" t="s">
        <v>19</v>
      </c>
    </row>
    <row r="693" spans="1:14" x14ac:dyDescent="0.3">
      <c r="A693" s="1">
        <v>45187</v>
      </c>
      <c r="B693" s="1" t="str">
        <f t="shared" si="40"/>
        <v>Sep</v>
      </c>
      <c r="C693" s="1" t="str">
        <f t="shared" si="41"/>
        <v>2023</v>
      </c>
      <c r="D693" t="s">
        <v>24</v>
      </c>
      <c r="E693" t="s">
        <v>21</v>
      </c>
      <c r="F693" t="s">
        <v>16</v>
      </c>
      <c r="G693">
        <v>1623.63</v>
      </c>
      <c r="H693">
        <v>1814.63</v>
      </c>
      <c r="I693">
        <v>45</v>
      </c>
      <c r="J693">
        <f t="shared" si="42"/>
        <v>81658.350000000006</v>
      </c>
      <c r="K693">
        <f t="shared" si="43"/>
        <v>8595</v>
      </c>
      <c r="L693" t="s">
        <v>30</v>
      </c>
      <c r="M693" t="s">
        <v>27</v>
      </c>
      <c r="N693" t="s">
        <v>22</v>
      </c>
    </row>
    <row r="694" spans="1:14" x14ac:dyDescent="0.3">
      <c r="A694" s="1">
        <v>45187</v>
      </c>
      <c r="B694" s="1" t="str">
        <f t="shared" si="40"/>
        <v>Sep</v>
      </c>
      <c r="C694" s="1" t="str">
        <f t="shared" si="41"/>
        <v>2023</v>
      </c>
      <c r="D694" t="s">
        <v>33</v>
      </c>
      <c r="E694" t="s">
        <v>25</v>
      </c>
      <c r="F694" t="s">
        <v>26</v>
      </c>
      <c r="G694">
        <v>921.32</v>
      </c>
      <c r="H694">
        <v>1236.0999999999999</v>
      </c>
      <c r="I694">
        <v>32</v>
      </c>
      <c r="J694">
        <f t="shared" si="42"/>
        <v>39555.199999999997</v>
      </c>
      <c r="K694">
        <f t="shared" si="43"/>
        <v>10072.959999999995</v>
      </c>
      <c r="L694" t="s">
        <v>30</v>
      </c>
      <c r="M694" t="s">
        <v>31</v>
      </c>
      <c r="N694" t="s">
        <v>19</v>
      </c>
    </row>
    <row r="695" spans="1:14" x14ac:dyDescent="0.3">
      <c r="A695" s="1">
        <v>45187</v>
      </c>
      <c r="B695" s="1" t="str">
        <f t="shared" si="40"/>
        <v>Sep</v>
      </c>
      <c r="C695" s="1" t="str">
        <f t="shared" si="41"/>
        <v>2023</v>
      </c>
      <c r="D695" t="s">
        <v>33</v>
      </c>
      <c r="E695" t="s">
        <v>21</v>
      </c>
      <c r="F695" t="s">
        <v>26</v>
      </c>
      <c r="G695">
        <v>1821.91</v>
      </c>
      <c r="H695">
        <v>2027.74</v>
      </c>
      <c r="I695">
        <v>25</v>
      </c>
      <c r="J695">
        <f t="shared" si="42"/>
        <v>50693.5</v>
      </c>
      <c r="K695">
        <f t="shared" si="43"/>
        <v>5145.7499999999982</v>
      </c>
      <c r="L695" t="s">
        <v>30</v>
      </c>
      <c r="M695" t="s">
        <v>27</v>
      </c>
      <c r="N695" t="s">
        <v>22</v>
      </c>
    </row>
    <row r="696" spans="1:14" x14ac:dyDescent="0.3">
      <c r="A696" s="1">
        <v>45187</v>
      </c>
      <c r="B696" s="1" t="str">
        <f t="shared" si="40"/>
        <v>Sep</v>
      </c>
      <c r="C696" s="1" t="str">
        <f t="shared" si="41"/>
        <v>2023</v>
      </c>
      <c r="D696" t="s">
        <v>38</v>
      </c>
      <c r="E696" t="s">
        <v>34</v>
      </c>
      <c r="F696" t="s">
        <v>29</v>
      </c>
      <c r="G696">
        <v>4083.23</v>
      </c>
      <c r="H696">
        <v>4521.57</v>
      </c>
      <c r="I696">
        <v>40</v>
      </c>
      <c r="J696">
        <f t="shared" si="42"/>
        <v>180862.8</v>
      </c>
      <c r="K696">
        <f t="shared" si="43"/>
        <v>17533.599999999988</v>
      </c>
      <c r="L696" t="s">
        <v>30</v>
      </c>
      <c r="M696" t="s">
        <v>27</v>
      </c>
      <c r="N696" t="s">
        <v>22</v>
      </c>
    </row>
    <row r="697" spans="1:14" x14ac:dyDescent="0.3">
      <c r="A697" s="1">
        <v>45187</v>
      </c>
      <c r="B697" s="1" t="str">
        <f t="shared" si="40"/>
        <v>Sep</v>
      </c>
      <c r="C697" s="1" t="str">
        <f t="shared" si="41"/>
        <v>2023</v>
      </c>
      <c r="D697" t="s">
        <v>24</v>
      </c>
      <c r="E697" t="s">
        <v>21</v>
      </c>
      <c r="F697" t="s">
        <v>35</v>
      </c>
      <c r="G697">
        <v>3808.59</v>
      </c>
      <c r="H697">
        <v>3844.51</v>
      </c>
      <c r="I697">
        <v>19</v>
      </c>
      <c r="J697">
        <f t="shared" si="42"/>
        <v>73045.69</v>
      </c>
      <c r="K697">
        <f t="shared" si="43"/>
        <v>682.48000000000138</v>
      </c>
      <c r="L697" t="s">
        <v>30</v>
      </c>
      <c r="M697" t="s">
        <v>31</v>
      </c>
      <c r="N697" t="s">
        <v>19</v>
      </c>
    </row>
    <row r="698" spans="1:14" x14ac:dyDescent="0.3">
      <c r="A698" s="1">
        <v>45188</v>
      </c>
      <c r="B698" s="1" t="str">
        <f t="shared" si="40"/>
        <v>Sep</v>
      </c>
      <c r="C698" s="1" t="str">
        <f t="shared" si="41"/>
        <v>2023</v>
      </c>
      <c r="D698" t="s">
        <v>33</v>
      </c>
      <c r="E698" t="s">
        <v>21</v>
      </c>
      <c r="F698" t="s">
        <v>29</v>
      </c>
      <c r="G698">
        <v>2590.64</v>
      </c>
      <c r="H698">
        <v>3036.18</v>
      </c>
      <c r="I698">
        <v>45</v>
      </c>
      <c r="J698">
        <f t="shared" si="42"/>
        <v>136628.1</v>
      </c>
      <c r="K698">
        <f t="shared" si="43"/>
        <v>20049.3</v>
      </c>
      <c r="L698" t="s">
        <v>30</v>
      </c>
      <c r="M698" t="s">
        <v>27</v>
      </c>
      <c r="N698" t="s">
        <v>22</v>
      </c>
    </row>
    <row r="699" spans="1:14" x14ac:dyDescent="0.3">
      <c r="A699" s="1">
        <v>45188</v>
      </c>
      <c r="B699" s="1" t="str">
        <f t="shared" si="40"/>
        <v>Sep</v>
      </c>
      <c r="C699" s="1" t="str">
        <f t="shared" si="41"/>
        <v>2023</v>
      </c>
      <c r="D699" t="s">
        <v>42</v>
      </c>
      <c r="E699" t="s">
        <v>34</v>
      </c>
      <c r="F699" t="s">
        <v>35</v>
      </c>
      <c r="G699">
        <v>2007.32</v>
      </c>
      <c r="H699">
        <v>2202.87</v>
      </c>
      <c r="I699">
        <v>26</v>
      </c>
      <c r="J699">
        <f t="shared" si="42"/>
        <v>57274.619999999995</v>
      </c>
      <c r="K699">
        <f t="shared" si="43"/>
        <v>5084.2999999999993</v>
      </c>
      <c r="L699" t="s">
        <v>17</v>
      </c>
      <c r="M699" t="s">
        <v>18</v>
      </c>
      <c r="N699" t="s">
        <v>19</v>
      </c>
    </row>
    <row r="700" spans="1:14" x14ac:dyDescent="0.3">
      <c r="A700" s="1">
        <v>45188</v>
      </c>
      <c r="B700" s="1" t="str">
        <f t="shared" si="40"/>
        <v>Sep</v>
      </c>
      <c r="C700" s="1" t="str">
        <f t="shared" si="41"/>
        <v>2023</v>
      </c>
      <c r="D700" t="s">
        <v>42</v>
      </c>
      <c r="E700" t="s">
        <v>25</v>
      </c>
      <c r="F700" t="s">
        <v>35</v>
      </c>
      <c r="G700">
        <v>1308.58</v>
      </c>
      <c r="H700">
        <v>1575.59</v>
      </c>
      <c r="I700">
        <v>17</v>
      </c>
      <c r="J700">
        <f t="shared" si="42"/>
        <v>26785.03</v>
      </c>
      <c r="K700">
        <f t="shared" si="43"/>
        <v>4539.17</v>
      </c>
      <c r="L700" t="s">
        <v>30</v>
      </c>
      <c r="M700" t="s">
        <v>18</v>
      </c>
      <c r="N700" t="s">
        <v>19</v>
      </c>
    </row>
    <row r="701" spans="1:14" x14ac:dyDescent="0.3">
      <c r="A701" s="1">
        <v>45188</v>
      </c>
      <c r="B701" s="1" t="str">
        <f t="shared" si="40"/>
        <v>Sep</v>
      </c>
      <c r="C701" s="1" t="str">
        <f t="shared" si="41"/>
        <v>2023</v>
      </c>
      <c r="D701" t="s">
        <v>14</v>
      </c>
      <c r="E701" t="s">
        <v>25</v>
      </c>
      <c r="F701" t="s">
        <v>29</v>
      </c>
      <c r="G701">
        <v>666.84</v>
      </c>
      <c r="H701">
        <v>817.36</v>
      </c>
      <c r="I701">
        <v>28</v>
      </c>
      <c r="J701">
        <f t="shared" si="42"/>
        <v>22886.080000000002</v>
      </c>
      <c r="K701">
        <f t="shared" si="43"/>
        <v>4214.5599999999995</v>
      </c>
      <c r="L701" t="s">
        <v>17</v>
      </c>
      <c r="M701" t="s">
        <v>18</v>
      </c>
      <c r="N701" t="s">
        <v>22</v>
      </c>
    </row>
    <row r="702" spans="1:14" x14ac:dyDescent="0.3">
      <c r="A702" s="1">
        <v>45189</v>
      </c>
      <c r="B702" s="1" t="str">
        <f t="shared" si="40"/>
        <v>Sep</v>
      </c>
      <c r="C702" s="1" t="str">
        <f t="shared" si="41"/>
        <v>2023</v>
      </c>
      <c r="D702" t="s">
        <v>24</v>
      </c>
      <c r="E702" t="s">
        <v>15</v>
      </c>
      <c r="F702" t="s">
        <v>29</v>
      </c>
      <c r="G702">
        <v>1525.13</v>
      </c>
      <c r="H702">
        <v>1868.32</v>
      </c>
      <c r="I702">
        <v>45</v>
      </c>
      <c r="J702">
        <f t="shared" si="42"/>
        <v>84074.4</v>
      </c>
      <c r="K702">
        <f t="shared" si="43"/>
        <v>15443.549999999992</v>
      </c>
      <c r="L702" t="s">
        <v>17</v>
      </c>
      <c r="M702" t="s">
        <v>18</v>
      </c>
      <c r="N702" t="s">
        <v>22</v>
      </c>
    </row>
    <row r="703" spans="1:14" x14ac:dyDescent="0.3">
      <c r="A703" s="1">
        <v>45190</v>
      </c>
      <c r="B703" s="1" t="str">
        <f t="shared" si="40"/>
        <v>Sep</v>
      </c>
      <c r="C703" s="1" t="str">
        <f t="shared" si="41"/>
        <v>2023</v>
      </c>
      <c r="D703" t="s">
        <v>24</v>
      </c>
      <c r="E703" t="s">
        <v>25</v>
      </c>
      <c r="F703" t="s">
        <v>26</v>
      </c>
      <c r="G703">
        <v>261.56</v>
      </c>
      <c r="H703">
        <v>371.4</v>
      </c>
      <c r="I703">
        <v>30</v>
      </c>
      <c r="J703">
        <f t="shared" si="42"/>
        <v>11142</v>
      </c>
      <c r="K703">
        <f t="shared" si="43"/>
        <v>3295.1999999999994</v>
      </c>
      <c r="L703" t="s">
        <v>17</v>
      </c>
      <c r="M703" t="s">
        <v>27</v>
      </c>
      <c r="N703" t="s">
        <v>22</v>
      </c>
    </row>
    <row r="704" spans="1:14" x14ac:dyDescent="0.3">
      <c r="A704" s="1">
        <v>45190</v>
      </c>
      <c r="B704" s="1" t="str">
        <f t="shared" si="40"/>
        <v>Sep</v>
      </c>
      <c r="C704" s="1" t="str">
        <f t="shared" si="41"/>
        <v>2023</v>
      </c>
      <c r="D704" t="s">
        <v>33</v>
      </c>
      <c r="E704" t="s">
        <v>25</v>
      </c>
      <c r="F704" t="s">
        <v>26</v>
      </c>
      <c r="G704">
        <v>2747.66</v>
      </c>
      <c r="H704">
        <v>3027.0099999999902</v>
      </c>
      <c r="I704">
        <v>25</v>
      </c>
      <c r="J704">
        <f t="shared" si="42"/>
        <v>75675.249999999753</v>
      </c>
      <c r="K704">
        <f t="shared" si="43"/>
        <v>6983.749999999759</v>
      </c>
      <c r="L704" t="s">
        <v>30</v>
      </c>
      <c r="M704" t="s">
        <v>18</v>
      </c>
      <c r="N704" t="s">
        <v>19</v>
      </c>
    </row>
    <row r="705" spans="1:14" x14ac:dyDescent="0.3">
      <c r="A705" s="1">
        <v>45190</v>
      </c>
      <c r="B705" s="1" t="str">
        <f t="shared" si="40"/>
        <v>Sep</v>
      </c>
      <c r="C705" s="1" t="str">
        <f t="shared" si="41"/>
        <v>2023</v>
      </c>
      <c r="D705" t="s">
        <v>24</v>
      </c>
      <c r="E705" t="s">
        <v>15</v>
      </c>
      <c r="F705" t="s">
        <v>35</v>
      </c>
      <c r="G705">
        <v>4658.4399999999996</v>
      </c>
      <c r="H705">
        <v>4823.5</v>
      </c>
      <c r="I705">
        <v>37</v>
      </c>
      <c r="J705">
        <f t="shared" si="42"/>
        <v>178469.5</v>
      </c>
      <c r="K705">
        <f t="shared" si="43"/>
        <v>6107.2200000000148</v>
      </c>
      <c r="L705" t="s">
        <v>17</v>
      </c>
      <c r="M705" t="s">
        <v>31</v>
      </c>
      <c r="N705" t="s">
        <v>19</v>
      </c>
    </row>
    <row r="706" spans="1:14" x14ac:dyDescent="0.3">
      <c r="A706" s="1">
        <v>45190</v>
      </c>
      <c r="B706" s="1" t="str">
        <f t="shared" ref="B706:B769" si="44">TEXT(A706,"MMM")</f>
        <v>Sep</v>
      </c>
      <c r="C706" s="1" t="str">
        <f t="shared" ref="C706:C769" si="45">TEXT(A706,"YYYY")</f>
        <v>2023</v>
      </c>
      <c r="D706" t="s">
        <v>14</v>
      </c>
      <c r="E706" t="s">
        <v>15</v>
      </c>
      <c r="F706" t="s">
        <v>35</v>
      </c>
      <c r="G706">
        <v>1762</v>
      </c>
      <c r="H706">
        <v>2002.95</v>
      </c>
      <c r="I706">
        <v>26</v>
      </c>
      <c r="J706">
        <f t="shared" ref="J706:J769" si="46">(I706*H706)</f>
        <v>52076.700000000004</v>
      </c>
      <c r="K706">
        <f t="shared" ref="K706:K769" si="47">(H706-G706)*I706</f>
        <v>6264.7000000000007</v>
      </c>
      <c r="L706" t="s">
        <v>17</v>
      </c>
      <c r="M706" t="s">
        <v>31</v>
      </c>
      <c r="N706" t="s">
        <v>22</v>
      </c>
    </row>
    <row r="707" spans="1:14" x14ac:dyDescent="0.3">
      <c r="A707" s="1">
        <v>45190</v>
      </c>
      <c r="B707" s="1" t="str">
        <f t="shared" si="44"/>
        <v>Sep</v>
      </c>
      <c r="C707" s="1" t="str">
        <f t="shared" si="45"/>
        <v>2023</v>
      </c>
      <c r="D707" t="s">
        <v>38</v>
      </c>
      <c r="E707" t="s">
        <v>25</v>
      </c>
      <c r="F707" t="s">
        <v>16</v>
      </c>
      <c r="G707">
        <v>1458.77</v>
      </c>
      <c r="H707">
        <v>1485.75</v>
      </c>
      <c r="I707">
        <v>36</v>
      </c>
      <c r="J707">
        <f t="shared" si="46"/>
        <v>53487</v>
      </c>
      <c r="K707">
        <f t="shared" si="47"/>
        <v>971.28000000000065</v>
      </c>
      <c r="L707" t="s">
        <v>30</v>
      </c>
      <c r="M707" t="s">
        <v>31</v>
      </c>
      <c r="N707" t="s">
        <v>19</v>
      </c>
    </row>
    <row r="708" spans="1:14" x14ac:dyDescent="0.3">
      <c r="A708" s="1">
        <v>45191</v>
      </c>
      <c r="B708" s="1" t="str">
        <f t="shared" si="44"/>
        <v>Sep</v>
      </c>
      <c r="C708" s="1" t="str">
        <f t="shared" si="45"/>
        <v>2023</v>
      </c>
      <c r="D708" t="s">
        <v>24</v>
      </c>
      <c r="E708" t="s">
        <v>25</v>
      </c>
      <c r="F708" t="s">
        <v>35</v>
      </c>
      <c r="G708">
        <v>4275.59</v>
      </c>
      <c r="H708">
        <v>4576.72</v>
      </c>
      <c r="I708">
        <v>22</v>
      </c>
      <c r="J708">
        <f t="shared" si="46"/>
        <v>100687.84000000001</v>
      </c>
      <c r="K708">
        <f t="shared" si="47"/>
        <v>6624.8600000000024</v>
      </c>
      <c r="L708" t="s">
        <v>17</v>
      </c>
      <c r="M708" t="s">
        <v>18</v>
      </c>
      <c r="N708" t="s">
        <v>22</v>
      </c>
    </row>
    <row r="709" spans="1:14" x14ac:dyDescent="0.3">
      <c r="A709" s="1">
        <v>45192</v>
      </c>
      <c r="B709" s="1" t="str">
        <f t="shared" si="44"/>
        <v>Sep</v>
      </c>
      <c r="C709" s="1" t="str">
        <f t="shared" si="45"/>
        <v>2023</v>
      </c>
      <c r="D709" t="s">
        <v>14</v>
      </c>
      <c r="E709" t="s">
        <v>15</v>
      </c>
      <c r="F709" t="s">
        <v>16</v>
      </c>
      <c r="G709">
        <v>3549.43</v>
      </c>
      <c r="H709">
        <v>3967.6899999999901</v>
      </c>
      <c r="I709">
        <v>42</v>
      </c>
      <c r="J709">
        <f t="shared" si="46"/>
        <v>166642.97999999957</v>
      </c>
      <c r="K709">
        <f t="shared" si="47"/>
        <v>17566.919999999591</v>
      </c>
      <c r="L709" t="s">
        <v>30</v>
      </c>
      <c r="M709" t="s">
        <v>27</v>
      </c>
      <c r="N709" t="s">
        <v>19</v>
      </c>
    </row>
    <row r="710" spans="1:14" x14ac:dyDescent="0.3">
      <c r="A710" s="1">
        <v>45192</v>
      </c>
      <c r="B710" s="1" t="str">
        <f t="shared" si="44"/>
        <v>Sep</v>
      </c>
      <c r="C710" s="1" t="str">
        <f t="shared" si="45"/>
        <v>2023</v>
      </c>
      <c r="D710" t="s">
        <v>33</v>
      </c>
      <c r="E710" t="s">
        <v>15</v>
      </c>
      <c r="F710" t="s">
        <v>16</v>
      </c>
      <c r="G710">
        <v>1047.25</v>
      </c>
      <c r="H710">
        <v>1075.8900000000001</v>
      </c>
      <c r="I710">
        <v>40</v>
      </c>
      <c r="J710">
        <f t="shared" si="46"/>
        <v>43035.600000000006</v>
      </c>
      <c r="K710">
        <f t="shared" si="47"/>
        <v>1145.600000000004</v>
      </c>
      <c r="L710" t="s">
        <v>30</v>
      </c>
      <c r="M710" t="s">
        <v>31</v>
      </c>
      <c r="N710" t="s">
        <v>22</v>
      </c>
    </row>
    <row r="711" spans="1:14" x14ac:dyDescent="0.3">
      <c r="A711" s="1">
        <v>45192</v>
      </c>
      <c r="B711" s="1" t="str">
        <f t="shared" si="44"/>
        <v>Sep</v>
      </c>
      <c r="C711" s="1" t="str">
        <f t="shared" si="45"/>
        <v>2023</v>
      </c>
      <c r="D711" t="s">
        <v>33</v>
      </c>
      <c r="E711" t="s">
        <v>15</v>
      </c>
      <c r="F711" t="s">
        <v>35</v>
      </c>
      <c r="G711">
        <v>1820.89</v>
      </c>
      <c r="H711">
        <v>2257.92</v>
      </c>
      <c r="I711">
        <v>19</v>
      </c>
      <c r="J711">
        <f t="shared" si="46"/>
        <v>42900.480000000003</v>
      </c>
      <c r="K711">
        <f t="shared" si="47"/>
        <v>8303.57</v>
      </c>
      <c r="L711" t="s">
        <v>30</v>
      </c>
      <c r="M711" t="s">
        <v>18</v>
      </c>
      <c r="N711" t="s">
        <v>22</v>
      </c>
    </row>
    <row r="712" spans="1:14" x14ac:dyDescent="0.3">
      <c r="A712" s="1">
        <v>45193</v>
      </c>
      <c r="B712" s="1" t="str">
        <f t="shared" si="44"/>
        <v>Sep</v>
      </c>
      <c r="C712" s="1" t="str">
        <f t="shared" si="45"/>
        <v>2023</v>
      </c>
      <c r="D712" t="s">
        <v>38</v>
      </c>
      <c r="E712" t="s">
        <v>25</v>
      </c>
      <c r="F712" t="s">
        <v>26</v>
      </c>
      <c r="G712">
        <v>122.5</v>
      </c>
      <c r="H712">
        <v>385.83</v>
      </c>
      <c r="I712">
        <v>6</v>
      </c>
      <c r="J712">
        <f t="shared" si="46"/>
        <v>2314.98</v>
      </c>
      <c r="K712">
        <f t="shared" si="47"/>
        <v>1579.98</v>
      </c>
      <c r="L712" t="s">
        <v>17</v>
      </c>
      <c r="M712" t="s">
        <v>18</v>
      </c>
      <c r="N712" t="s">
        <v>22</v>
      </c>
    </row>
    <row r="713" spans="1:14" x14ac:dyDescent="0.3">
      <c r="A713" s="1">
        <v>45193</v>
      </c>
      <c r="B713" s="1" t="str">
        <f t="shared" si="44"/>
        <v>Sep</v>
      </c>
      <c r="C713" s="1" t="str">
        <f t="shared" si="45"/>
        <v>2023</v>
      </c>
      <c r="D713" t="s">
        <v>14</v>
      </c>
      <c r="E713" t="s">
        <v>34</v>
      </c>
      <c r="F713" t="s">
        <v>29</v>
      </c>
      <c r="G713">
        <v>3461.15</v>
      </c>
      <c r="H713">
        <v>3631.75</v>
      </c>
      <c r="I713">
        <v>35</v>
      </c>
      <c r="J713">
        <f t="shared" si="46"/>
        <v>127111.25</v>
      </c>
      <c r="K713">
        <f t="shared" si="47"/>
        <v>5970.9999999999964</v>
      </c>
      <c r="L713" t="s">
        <v>17</v>
      </c>
      <c r="M713" t="s">
        <v>31</v>
      </c>
      <c r="N713" t="s">
        <v>19</v>
      </c>
    </row>
    <row r="714" spans="1:14" x14ac:dyDescent="0.3">
      <c r="A714" s="1">
        <v>45193</v>
      </c>
      <c r="B714" s="1" t="str">
        <f t="shared" si="44"/>
        <v>Sep</v>
      </c>
      <c r="C714" s="1" t="str">
        <f t="shared" si="45"/>
        <v>2023</v>
      </c>
      <c r="D714" t="s">
        <v>33</v>
      </c>
      <c r="E714" t="s">
        <v>21</v>
      </c>
      <c r="F714" t="s">
        <v>29</v>
      </c>
      <c r="G714">
        <v>1825.37</v>
      </c>
      <c r="H714">
        <v>2073.88</v>
      </c>
      <c r="I714">
        <v>41</v>
      </c>
      <c r="J714">
        <f t="shared" si="46"/>
        <v>85029.08</v>
      </c>
      <c r="K714">
        <f t="shared" si="47"/>
        <v>10188.910000000009</v>
      </c>
      <c r="L714" t="s">
        <v>17</v>
      </c>
      <c r="M714" t="s">
        <v>18</v>
      </c>
      <c r="N714" t="s">
        <v>22</v>
      </c>
    </row>
    <row r="715" spans="1:14" x14ac:dyDescent="0.3">
      <c r="A715" s="1">
        <v>45193</v>
      </c>
      <c r="B715" s="1" t="str">
        <f t="shared" si="44"/>
        <v>Sep</v>
      </c>
      <c r="C715" s="1" t="str">
        <f t="shared" si="45"/>
        <v>2023</v>
      </c>
      <c r="D715" t="s">
        <v>14</v>
      </c>
      <c r="E715" t="s">
        <v>25</v>
      </c>
      <c r="F715" t="s">
        <v>26</v>
      </c>
      <c r="G715">
        <v>2246.67</v>
      </c>
      <c r="H715">
        <v>2486.14</v>
      </c>
      <c r="I715">
        <v>48</v>
      </c>
      <c r="J715">
        <f t="shared" si="46"/>
        <v>119334.72</v>
      </c>
      <c r="K715">
        <f t="shared" si="47"/>
        <v>11494.55999999999</v>
      </c>
      <c r="L715" t="s">
        <v>30</v>
      </c>
      <c r="M715" t="s">
        <v>18</v>
      </c>
      <c r="N715" t="s">
        <v>22</v>
      </c>
    </row>
    <row r="716" spans="1:14" x14ac:dyDescent="0.3">
      <c r="A716" s="1">
        <v>45193</v>
      </c>
      <c r="B716" s="1" t="str">
        <f t="shared" si="44"/>
        <v>Sep</v>
      </c>
      <c r="C716" s="1" t="str">
        <f t="shared" si="45"/>
        <v>2023</v>
      </c>
      <c r="D716" t="s">
        <v>42</v>
      </c>
      <c r="E716" t="s">
        <v>34</v>
      </c>
      <c r="F716" t="s">
        <v>26</v>
      </c>
      <c r="G716">
        <v>4067.28</v>
      </c>
      <c r="H716">
        <v>4548.09</v>
      </c>
      <c r="I716">
        <v>9</v>
      </c>
      <c r="J716">
        <f t="shared" si="46"/>
        <v>40932.81</v>
      </c>
      <c r="K716">
        <f t="shared" si="47"/>
        <v>4327.2899999999991</v>
      </c>
      <c r="L716" t="s">
        <v>17</v>
      </c>
      <c r="M716" t="s">
        <v>31</v>
      </c>
      <c r="N716" t="s">
        <v>22</v>
      </c>
    </row>
    <row r="717" spans="1:14" x14ac:dyDescent="0.3">
      <c r="A717" s="1">
        <v>45194</v>
      </c>
      <c r="B717" s="1" t="str">
        <f t="shared" si="44"/>
        <v>Sep</v>
      </c>
      <c r="C717" s="1" t="str">
        <f t="shared" si="45"/>
        <v>2023</v>
      </c>
      <c r="D717" t="s">
        <v>38</v>
      </c>
      <c r="E717" t="s">
        <v>21</v>
      </c>
      <c r="F717" t="s">
        <v>35</v>
      </c>
      <c r="G717">
        <v>4127.05</v>
      </c>
      <c r="H717">
        <v>4313.45</v>
      </c>
      <c r="I717">
        <v>37</v>
      </c>
      <c r="J717">
        <f t="shared" si="46"/>
        <v>159597.65</v>
      </c>
      <c r="K717">
        <f t="shared" si="47"/>
        <v>6896.7999999999865</v>
      </c>
      <c r="L717" t="s">
        <v>30</v>
      </c>
      <c r="M717" t="s">
        <v>18</v>
      </c>
      <c r="N717" t="s">
        <v>19</v>
      </c>
    </row>
    <row r="718" spans="1:14" x14ac:dyDescent="0.3">
      <c r="A718" s="1">
        <v>45194</v>
      </c>
      <c r="B718" s="1" t="str">
        <f t="shared" si="44"/>
        <v>Sep</v>
      </c>
      <c r="C718" s="1" t="str">
        <f t="shared" si="45"/>
        <v>2023</v>
      </c>
      <c r="D718" t="s">
        <v>38</v>
      </c>
      <c r="E718" t="s">
        <v>34</v>
      </c>
      <c r="F718" t="s">
        <v>26</v>
      </c>
      <c r="G718">
        <v>1319.24</v>
      </c>
      <c r="H718">
        <v>1805.56</v>
      </c>
      <c r="I718">
        <v>47</v>
      </c>
      <c r="J718">
        <f t="shared" si="46"/>
        <v>84861.319999999992</v>
      </c>
      <c r="K718">
        <f t="shared" si="47"/>
        <v>22857.039999999997</v>
      </c>
      <c r="L718" t="s">
        <v>30</v>
      </c>
      <c r="M718" t="s">
        <v>31</v>
      </c>
      <c r="N718" t="s">
        <v>22</v>
      </c>
    </row>
    <row r="719" spans="1:14" x14ac:dyDescent="0.3">
      <c r="A719" s="1">
        <v>45195</v>
      </c>
      <c r="B719" s="1" t="str">
        <f t="shared" si="44"/>
        <v>Sep</v>
      </c>
      <c r="C719" s="1" t="str">
        <f t="shared" si="45"/>
        <v>2023</v>
      </c>
      <c r="D719" t="s">
        <v>14</v>
      </c>
      <c r="E719" t="s">
        <v>34</v>
      </c>
      <c r="F719" t="s">
        <v>26</v>
      </c>
      <c r="G719">
        <v>4503.7299999999996</v>
      </c>
      <c r="H719">
        <v>4879.8799999999901</v>
      </c>
      <c r="I719">
        <v>14</v>
      </c>
      <c r="J719">
        <f t="shared" si="46"/>
        <v>68318.319999999861</v>
      </c>
      <c r="K719">
        <f t="shared" si="47"/>
        <v>5266.0999999998676</v>
      </c>
      <c r="L719" t="s">
        <v>30</v>
      </c>
      <c r="M719" t="s">
        <v>27</v>
      </c>
      <c r="N719" t="s">
        <v>22</v>
      </c>
    </row>
    <row r="720" spans="1:14" x14ac:dyDescent="0.3">
      <c r="A720" s="1">
        <v>45195</v>
      </c>
      <c r="B720" s="1" t="str">
        <f t="shared" si="44"/>
        <v>Sep</v>
      </c>
      <c r="C720" s="1" t="str">
        <f t="shared" si="45"/>
        <v>2023</v>
      </c>
      <c r="D720" t="s">
        <v>24</v>
      </c>
      <c r="E720" t="s">
        <v>34</v>
      </c>
      <c r="F720" t="s">
        <v>16</v>
      </c>
      <c r="G720">
        <v>739.63</v>
      </c>
      <c r="H720">
        <v>1103.03</v>
      </c>
      <c r="I720">
        <v>25</v>
      </c>
      <c r="J720">
        <f t="shared" si="46"/>
        <v>27575.75</v>
      </c>
      <c r="K720">
        <f t="shared" si="47"/>
        <v>9085</v>
      </c>
      <c r="L720" t="s">
        <v>30</v>
      </c>
      <c r="M720" t="s">
        <v>27</v>
      </c>
      <c r="N720" t="s">
        <v>22</v>
      </c>
    </row>
    <row r="721" spans="1:14" x14ac:dyDescent="0.3">
      <c r="A721" s="1">
        <v>45195</v>
      </c>
      <c r="B721" s="1" t="str">
        <f t="shared" si="44"/>
        <v>Sep</v>
      </c>
      <c r="C721" s="1" t="str">
        <f t="shared" si="45"/>
        <v>2023</v>
      </c>
      <c r="D721" t="s">
        <v>38</v>
      </c>
      <c r="E721" t="s">
        <v>15</v>
      </c>
      <c r="F721" t="s">
        <v>35</v>
      </c>
      <c r="G721">
        <v>210.33</v>
      </c>
      <c r="H721">
        <v>552.29</v>
      </c>
      <c r="I721">
        <v>11</v>
      </c>
      <c r="J721">
        <f t="shared" si="46"/>
        <v>6075.19</v>
      </c>
      <c r="K721">
        <f t="shared" si="47"/>
        <v>3761.559999999999</v>
      </c>
      <c r="L721" t="s">
        <v>17</v>
      </c>
      <c r="M721" t="s">
        <v>18</v>
      </c>
      <c r="N721" t="s">
        <v>22</v>
      </c>
    </row>
    <row r="722" spans="1:14" x14ac:dyDescent="0.3">
      <c r="A722" s="1">
        <v>45196</v>
      </c>
      <c r="B722" s="1" t="str">
        <f t="shared" si="44"/>
        <v>Sep</v>
      </c>
      <c r="C722" s="1" t="str">
        <f t="shared" si="45"/>
        <v>2023</v>
      </c>
      <c r="D722" t="s">
        <v>38</v>
      </c>
      <c r="E722" t="s">
        <v>15</v>
      </c>
      <c r="F722" t="s">
        <v>35</v>
      </c>
      <c r="G722">
        <v>367.98</v>
      </c>
      <c r="H722">
        <v>806.14</v>
      </c>
      <c r="I722">
        <v>32</v>
      </c>
      <c r="J722">
        <f t="shared" si="46"/>
        <v>25796.48</v>
      </c>
      <c r="K722">
        <f t="shared" si="47"/>
        <v>14021.119999999999</v>
      </c>
      <c r="L722" t="s">
        <v>17</v>
      </c>
      <c r="M722" t="s">
        <v>31</v>
      </c>
      <c r="N722" t="s">
        <v>22</v>
      </c>
    </row>
    <row r="723" spans="1:14" x14ac:dyDescent="0.3">
      <c r="A723" s="1">
        <v>45196</v>
      </c>
      <c r="B723" s="1" t="str">
        <f t="shared" si="44"/>
        <v>Sep</v>
      </c>
      <c r="C723" s="1" t="str">
        <f t="shared" si="45"/>
        <v>2023</v>
      </c>
      <c r="D723" t="s">
        <v>38</v>
      </c>
      <c r="E723" t="s">
        <v>21</v>
      </c>
      <c r="F723" t="s">
        <v>35</v>
      </c>
      <c r="G723">
        <v>3578.77</v>
      </c>
      <c r="H723">
        <v>3635.02</v>
      </c>
      <c r="I723">
        <v>29</v>
      </c>
      <c r="J723">
        <f t="shared" si="46"/>
        <v>105415.58</v>
      </c>
      <c r="K723">
        <f t="shared" si="47"/>
        <v>1631.25</v>
      </c>
      <c r="L723" t="s">
        <v>30</v>
      </c>
      <c r="M723" t="s">
        <v>27</v>
      </c>
      <c r="N723" t="s">
        <v>22</v>
      </c>
    </row>
    <row r="724" spans="1:14" x14ac:dyDescent="0.3">
      <c r="A724" s="1">
        <v>45196</v>
      </c>
      <c r="B724" s="1" t="str">
        <f t="shared" si="44"/>
        <v>Sep</v>
      </c>
      <c r="C724" s="1" t="str">
        <f t="shared" si="45"/>
        <v>2023</v>
      </c>
      <c r="D724" t="s">
        <v>38</v>
      </c>
      <c r="E724" t="s">
        <v>15</v>
      </c>
      <c r="F724" t="s">
        <v>29</v>
      </c>
      <c r="G724">
        <v>4389.24</v>
      </c>
      <c r="H724">
        <v>4856.2199999999903</v>
      </c>
      <c r="I724">
        <v>12</v>
      </c>
      <c r="J724">
        <f t="shared" si="46"/>
        <v>58274.639999999883</v>
      </c>
      <c r="K724">
        <f t="shared" si="47"/>
        <v>5603.7599999998856</v>
      </c>
      <c r="L724" t="s">
        <v>17</v>
      </c>
      <c r="M724" t="s">
        <v>18</v>
      </c>
      <c r="N724" t="s">
        <v>22</v>
      </c>
    </row>
    <row r="725" spans="1:14" x14ac:dyDescent="0.3">
      <c r="A725" s="1">
        <v>45197</v>
      </c>
      <c r="B725" s="1" t="str">
        <f t="shared" si="44"/>
        <v>Sep</v>
      </c>
      <c r="C725" s="1" t="str">
        <f t="shared" si="45"/>
        <v>2023</v>
      </c>
      <c r="D725" t="s">
        <v>38</v>
      </c>
      <c r="E725" t="s">
        <v>25</v>
      </c>
      <c r="F725" t="s">
        <v>29</v>
      </c>
      <c r="G725">
        <v>4354.6000000000004</v>
      </c>
      <c r="H725">
        <v>4820.2</v>
      </c>
      <c r="I725">
        <v>27</v>
      </c>
      <c r="J725">
        <f t="shared" si="46"/>
        <v>130145.4</v>
      </c>
      <c r="K725">
        <f t="shared" si="47"/>
        <v>12571.199999999986</v>
      </c>
      <c r="L725" t="s">
        <v>30</v>
      </c>
      <c r="M725" t="s">
        <v>31</v>
      </c>
      <c r="N725" t="s">
        <v>22</v>
      </c>
    </row>
    <row r="726" spans="1:14" x14ac:dyDescent="0.3">
      <c r="A726" s="1">
        <v>45197</v>
      </c>
      <c r="B726" s="1" t="str">
        <f t="shared" si="44"/>
        <v>Sep</v>
      </c>
      <c r="C726" s="1" t="str">
        <f t="shared" si="45"/>
        <v>2023</v>
      </c>
      <c r="D726" t="s">
        <v>42</v>
      </c>
      <c r="E726" t="s">
        <v>21</v>
      </c>
      <c r="F726" t="s">
        <v>16</v>
      </c>
      <c r="G726">
        <v>3351.33</v>
      </c>
      <c r="H726">
        <v>3465.35</v>
      </c>
      <c r="I726">
        <v>44</v>
      </c>
      <c r="J726">
        <f t="shared" si="46"/>
        <v>152475.4</v>
      </c>
      <c r="K726">
        <f t="shared" si="47"/>
        <v>5016.8799999999992</v>
      </c>
      <c r="L726" t="s">
        <v>17</v>
      </c>
      <c r="M726" t="s">
        <v>27</v>
      </c>
      <c r="N726" t="s">
        <v>19</v>
      </c>
    </row>
    <row r="727" spans="1:14" x14ac:dyDescent="0.3">
      <c r="A727" s="1">
        <v>45198</v>
      </c>
      <c r="B727" s="1" t="str">
        <f t="shared" si="44"/>
        <v>Sep</v>
      </c>
      <c r="C727" s="1" t="str">
        <f t="shared" si="45"/>
        <v>2023</v>
      </c>
      <c r="D727" t="s">
        <v>14</v>
      </c>
      <c r="E727" t="s">
        <v>15</v>
      </c>
      <c r="F727" t="s">
        <v>29</v>
      </c>
      <c r="G727">
        <v>2588.67</v>
      </c>
      <c r="H727">
        <v>2847.76</v>
      </c>
      <c r="I727">
        <v>7</v>
      </c>
      <c r="J727">
        <f t="shared" si="46"/>
        <v>19934.32</v>
      </c>
      <c r="K727">
        <f t="shared" si="47"/>
        <v>1813.630000000001</v>
      </c>
      <c r="L727" t="s">
        <v>30</v>
      </c>
      <c r="M727" t="s">
        <v>18</v>
      </c>
      <c r="N727" t="s">
        <v>22</v>
      </c>
    </row>
    <row r="728" spans="1:14" x14ac:dyDescent="0.3">
      <c r="A728" s="1">
        <v>45199</v>
      </c>
      <c r="B728" s="1" t="str">
        <f t="shared" si="44"/>
        <v>Sep</v>
      </c>
      <c r="C728" s="1" t="str">
        <f t="shared" si="45"/>
        <v>2023</v>
      </c>
      <c r="D728" t="s">
        <v>33</v>
      </c>
      <c r="E728" t="s">
        <v>15</v>
      </c>
      <c r="F728" t="s">
        <v>16</v>
      </c>
      <c r="G728">
        <v>1563.78</v>
      </c>
      <c r="H728">
        <v>1829.1599999999901</v>
      </c>
      <c r="I728">
        <v>8</v>
      </c>
      <c r="J728">
        <f t="shared" si="46"/>
        <v>14633.279999999921</v>
      </c>
      <c r="K728">
        <f t="shared" si="47"/>
        <v>2123.0399999999208</v>
      </c>
      <c r="L728" t="s">
        <v>17</v>
      </c>
      <c r="M728" t="s">
        <v>18</v>
      </c>
      <c r="N728" t="s">
        <v>19</v>
      </c>
    </row>
    <row r="729" spans="1:14" x14ac:dyDescent="0.3">
      <c r="A729" s="1">
        <v>45199</v>
      </c>
      <c r="B729" s="1" t="str">
        <f t="shared" si="44"/>
        <v>Sep</v>
      </c>
      <c r="C729" s="1" t="str">
        <f t="shared" si="45"/>
        <v>2023</v>
      </c>
      <c r="D729" t="s">
        <v>33</v>
      </c>
      <c r="E729" t="s">
        <v>15</v>
      </c>
      <c r="F729" t="s">
        <v>16</v>
      </c>
      <c r="G729">
        <v>2900.14</v>
      </c>
      <c r="H729">
        <v>2910.5099999999902</v>
      </c>
      <c r="I729">
        <v>4</v>
      </c>
      <c r="J729">
        <f t="shared" si="46"/>
        <v>11642.039999999961</v>
      </c>
      <c r="K729">
        <f t="shared" si="47"/>
        <v>41.479999999961365</v>
      </c>
      <c r="L729" t="s">
        <v>30</v>
      </c>
      <c r="M729" t="s">
        <v>31</v>
      </c>
      <c r="N729" t="s">
        <v>22</v>
      </c>
    </row>
    <row r="730" spans="1:14" x14ac:dyDescent="0.3">
      <c r="A730" s="1">
        <v>45199</v>
      </c>
      <c r="B730" s="1" t="str">
        <f t="shared" si="44"/>
        <v>Sep</v>
      </c>
      <c r="C730" s="1" t="str">
        <f t="shared" si="45"/>
        <v>2023</v>
      </c>
      <c r="D730" t="s">
        <v>42</v>
      </c>
      <c r="E730" t="s">
        <v>34</v>
      </c>
      <c r="F730" t="s">
        <v>26</v>
      </c>
      <c r="G730">
        <v>169</v>
      </c>
      <c r="H730">
        <v>381.91999999999899</v>
      </c>
      <c r="I730">
        <v>30</v>
      </c>
      <c r="J730">
        <f t="shared" si="46"/>
        <v>11457.599999999969</v>
      </c>
      <c r="K730">
        <f t="shared" si="47"/>
        <v>6387.5999999999694</v>
      </c>
      <c r="L730" t="s">
        <v>17</v>
      </c>
      <c r="M730" t="s">
        <v>18</v>
      </c>
      <c r="N730" t="s">
        <v>22</v>
      </c>
    </row>
    <row r="731" spans="1:14" x14ac:dyDescent="0.3">
      <c r="A731" s="1">
        <v>45200</v>
      </c>
      <c r="B731" s="1" t="str">
        <f t="shared" si="44"/>
        <v>Oct</v>
      </c>
      <c r="C731" s="1" t="str">
        <f t="shared" si="45"/>
        <v>2023</v>
      </c>
      <c r="D731" t="s">
        <v>42</v>
      </c>
      <c r="E731" t="s">
        <v>21</v>
      </c>
      <c r="F731" t="s">
        <v>35</v>
      </c>
      <c r="G731">
        <v>3650.89</v>
      </c>
      <c r="H731">
        <v>3930.06</v>
      </c>
      <c r="I731">
        <v>5</v>
      </c>
      <c r="J731">
        <f t="shared" si="46"/>
        <v>19650.3</v>
      </c>
      <c r="K731">
        <f t="shared" si="47"/>
        <v>1395.8500000000004</v>
      </c>
      <c r="L731" t="s">
        <v>30</v>
      </c>
      <c r="M731" t="s">
        <v>27</v>
      </c>
      <c r="N731" t="s">
        <v>19</v>
      </c>
    </row>
    <row r="732" spans="1:14" x14ac:dyDescent="0.3">
      <c r="A732" s="1">
        <v>45200</v>
      </c>
      <c r="B732" s="1" t="str">
        <f t="shared" si="44"/>
        <v>Oct</v>
      </c>
      <c r="C732" s="1" t="str">
        <f t="shared" si="45"/>
        <v>2023</v>
      </c>
      <c r="D732" t="s">
        <v>38</v>
      </c>
      <c r="E732" t="s">
        <v>34</v>
      </c>
      <c r="F732" t="s">
        <v>35</v>
      </c>
      <c r="G732">
        <v>1534.7</v>
      </c>
      <c r="H732">
        <v>1972.62</v>
      </c>
      <c r="I732">
        <v>15</v>
      </c>
      <c r="J732">
        <f t="shared" si="46"/>
        <v>29589.3</v>
      </c>
      <c r="K732">
        <f t="shared" si="47"/>
        <v>6568.7999999999975</v>
      </c>
      <c r="L732" t="s">
        <v>17</v>
      </c>
      <c r="M732" t="s">
        <v>31</v>
      </c>
      <c r="N732" t="s">
        <v>22</v>
      </c>
    </row>
    <row r="733" spans="1:14" x14ac:dyDescent="0.3">
      <c r="A733" s="1">
        <v>45200</v>
      </c>
      <c r="B733" s="1" t="str">
        <f t="shared" si="44"/>
        <v>Oct</v>
      </c>
      <c r="C733" s="1" t="str">
        <f t="shared" si="45"/>
        <v>2023</v>
      </c>
      <c r="D733" t="s">
        <v>38</v>
      </c>
      <c r="E733" t="s">
        <v>34</v>
      </c>
      <c r="F733" t="s">
        <v>35</v>
      </c>
      <c r="G733">
        <v>2593.64</v>
      </c>
      <c r="H733">
        <v>2955.5099999999902</v>
      </c>
      <c r="I733">
        <v>22</v>
      </c>
      <c r="J733">
        <f t="shared" si="46"/>
        <v>65021.219999999783</v>
      </c>
      <c r="K733">
        <f t="shared" si="47"/>
        <v>7961.1399999997875</v>
      </c>
      <c r="L733" t="s">
        <v>17</v>
      </c>
      <c r="M733" t="s">
        <v>27</v>
      </c>
      <c r="N733" t="s">
        <v>22</v>
      </c>
    </row>
    <row r="734" spans="1:14" x14ac:dyDescent="0.3">
      <c r="A734" s="1">
        <v>45201</v>
      </c>
      <c r="B734" s="1" t="str">
        <f t="shared" si="44"/>
        <v>Oct</v>
      </c>
      <c r="C734" s="1" t="str">
        <f t="shared" si="45"/>
        <v>2023</v>
      </c>
      <c r="D734" t="s">
        <v>24</v>
      </c>
      <c r="E734" t="s">
        <v>34</v>
      </c>
      <c r="F734" t="s">
        <v>35</v>
      </c>
      <c r="G734">
        <v>3741.3</v>
      </c>
      <c r="H734">
        <v>4061.04</v>
      </c>
      <c r="I734">
        <v>29</v>
      </c>
      <c r="J734">
        <f t="shared" si="46"/>
        <v>117770.16</v>
      </c>
      <c r="K734">
        <f t="shared" si="47"/>
        <v>9272.4599999999937</v>
      </c>
      <c r="L734" t="s">
        <v>17</v>
      </c>
      <c r="M734" t="s">
        <v>31</v>
      </c>
      <c r="N734" t="s">
        <v>19</v>
      </c>
    </row>
    <row r="735" spans="1:14" x14ac:dyDescent="0.3">
      <c r="A735" s="1">
        <v>45201</v>
      </c>
      <c r="B735" s="1" t="str">
        <f t="shared" si="44"/>
        <v>Oct</v>
      </c>
      <c r="C735" s="1" t="str">
        <f t="shared" si="45"/>
        <v>2023</v>
      </c>
      <c r="D735" t="s">
        <v>14</v>
      </c>
      <c r="E735" t="s">
        <v>21</v>
      </c>
      <c r="F735" t="s">
        <v>35</v>
      </c>
      <c r="G735">
        <v>1486.76</v>
      </c>
      <c r="H735">
        <v>1505.44</v>
      </c>
      <c r="I735">
        <v>43</v>
      </c>
      <c r="J735">
        <f t="shared" si="46"/>
        <v>64733.920000000006</v>
      </c>
      <c r="K735">
        <f t="shared" si="47"/>
        <v>803.24000000000274</v>
      </c>
      <c r="L735" t="s">
        <v>30</v>
      </c>
      <c r="M735" t="s">
        <v>18</v>
      </c>
      <c r="N735" t="s">
        <v>22</v>
      </c>
    </row>
    <row r="736" spans="1:14" x14ac:dyDescent="0.3">
      <c r="A736" s="1">
        <v>45203</v>
      </c>
      <c r="B736" s="1" t="str">
        <f t="shared" si="44"/>
        <v>Oct</v>
      </c>
      <c r="C736" s="1" t="str">
        <f t="shared" si="45"/>
        <v>2023</v>
      </c>
      <c r="D736" t="s">
        <v>38</v>
      </c>
      <c r="E736" t="s">
        <v>34</v>
      </c>
      <c r="F736" t="s">
        <v>26</v>
      </c>
      <c r="G736">
        <v>4754.0200000000004</v>
      </c>
      <c r="H736">
        <v>5080.74</v>
      </c>
      <c r="I736">
        <v>12</v>
      </c>
      <c r="J736">
        <f t="shared" si="46"/>
        <v>60968.88</v>
      </c>
      <c r="K736">
        <f t="shared" si="47"/>
        <v>3920.6399999999921</v>
      </c>
      <c r="L736" t="s">
        <v>30</v>
      </c>
      <c r="M736" t="s">
        <v>18</v>
      </c>
      <c r="N736" t="s">
        <v>19</v>
      </c>
    </row>
    <row r="737" spans="1:14" x14ac:dyDescent="0.3">
      <c r="A737" s="1">
        <v>45203</v>
      </c>
      <c r="B737" s="1" t="str">
        <f t="shared" si="44"/>
        <v>Oct</v>
      </c>
      <c r="C737" s="1" t="str">
        <f t="shared" si="45"/>
        <v>2023</v>
      </c>
      <c r="D737" t="s">
        <v>14</v>
      </c>
      <c r="E737" t="s">
        <v>34</v>
      </c>
      <c r="F737" t="s">
        <v>35</v>
      </c>
      <c r="G737">
        <v>4904.93</v>
      </c>
      <c r="H737">
        <v>5034.3500000000004</v>
      </c>
      <c r="I737">
        <v>40</v>
      </c>
      <c r="J737">
        <f t="shared" si="46"/>
        <v>201374</v>
      </c>
      <c r="K737">
        <f t="shared" si="47"/>
        <v>5176.8000000000029</v>
      </c>
      <c r="L737" t="s">
        <v>30</v>
      </c>
      <c r="M737" t="s">
        <v>31</v>
      </c>
      <c r="N737" t="s">
        <v>22</v>
      </c>
    </row>
    <row r="738" spans="1:14" x14ac:dyDescent="0.3">
      <c r="A738" s="1">
        <v>45204</v>
      </c>
      <c r="B738" s="1" t="str">
        <f t="shared" si="44"/>
        <v>Oct</v>
      </c>
      <c r="C738" s="1" t="str">
        <f t="shared" si="45"/>
        <v>2023</v>
      </c>
      <c r="D738" t="s">
        <v>42</v>
      </c>
      <c r="E738" t="s">
        <v>25</v>
      </c>
      <c r="F738" t="s">
        <v>26</v>
      </c>
      <c r="G738">
        <v>2069.08</v>
      </c>
      <c r="H738">
        <v>2246.2399999999998</v>
      </c>
      <c r="I738">
        <v>27</v>
      </c>
      <c r="J738">
        <f t="shared" si="46"/>
        <v>60648.479999999996</v>
      </c>
      <c r="K738">
        <f t="shared" si="47"/>
        <v>4783.3199999999961</v>
      </c>
      <c r="L738" t="s">
        <v>30</v>
      </c>
      <c r="M738" t="s">
        <v>27</v>
      </c>
      <c r="N738" t="s">
        <v>22</v>
      </c>
    </row>
    <row r="739" spans="1:14" x14ac:dyDescent="0.3">
      <c r="A739" s="1">
        <v>45204</v>
      </c>
      <c r="B739" s="1" t="str">
        <f t="shared" si="44"/>
        <v>Oct</v>
      </c>
      <c r="C739" s="1" t="str">
        <f t="shared" si="45"/>
        <v>2023</v>
      </c>
      <c r="D739" t="s">
        <v>42</v>
      </c>
      <c r="E739" t="s">
        <v>25</v>
      </c>
      <c r="F739" t="s">
        <v>16</v>
      </c>
      <c r="G739">
        <v>4596.68</v>
      </c>
      <c r="H739">
        <v>5044.74</v>
      </c>
      <c r="I739">
        <v>4</v>
      </c>
      <c r="J739">
        <f t="shared" si="46"/>
        <v>20178.96</v>
      </c>
      <c r="K739">
        <f t="shared" si="47"/>
        <v>1792.239999999998</v>
      </c>
      <c r="L739" t="s">
        <v>30</v>
      </c>
      <c r="M739" t="s">
        <v>27</v>
      </c>
      <c r="N739" t="s">
        <v>19</v>
      </c>
    </row>
    <row r="740" spans="1:14" x14ac:dyDescent="0.3">
      <c r="A740" s="1">
        <v>45206</v>
      </c>
      <c r="B740" s="1" t="str">
        <f t="shared" si="44"/>
        <v>Oct</v>
      </c>
      <c r="C740" s="1" t="str">
        <f t="shared" si="45"/>
        <v>2023</v>
      </c>
      <c r="D740" t="s">
        <v>14</v>
      </c>
      <c r="E740" t="s">
        <v>21</v>
      </c>
      <c r="F740" t="s">
        <v>16</v>
      </c>
      <c r="G740">
        <v>3434.75</v>
      </c>
      <c r="H740">
        <v>3659.42</v>
      </c>
      <c r="I740">
        <v>3</v>
      </c>
      <c r="J740">
        <f t="shared" si="46"/>
        <v>10978.26</v>
      </c>
      <c r="K740">
        <f t="shared" si="47"/>
        <v>674.01000000000022</v>
      </c>
      <c r="L740" t="s">
        <v>30</v>
      </c>
      <c r="M740" t="s">
        <v>18</v>
      </c>
      <c r="N740" t="s">
        <v>19</v>
      </c>
    </row>
    <row r="741" spans="1:14" x14ac:dyDescent="0.3">
      <c r="A741" s="1">
        <v>45206</v>
      </c>
      <c r="B741" s="1" t="str">
        <f t="shared" si="44"/>
        <v>Oct</v>
      </c>
      <c r="C741" s="1" t="str">
        <f t="shared" si="45"/>
        <v>2023</v>
      </c>
      <c r="D741" t="s">
        <v>42</v>
      </c>
      <c r="E741" t="s">
        <v>25</v>
      </c>
      <c r="F741" t="s">
        <v>35</v>
      </c>
      <c r="G741">
        <v>647.70000000000005</v>
      </c>
      <c r="H741">
        <v>902.26</v>
      </c>
      <c r="I741">
        <v>23</v>
      </c>
      <c r="J741">
        <f t="shared" si="46"/>
        <v>20751.98</v>
      </c>
      <c r="K741">
        <f t="shared" si="47"/>
        <v>5854.8799999999992</v>
      </c>
      <c r="L741" t="s">
        <v>30</v>
      </c>
      <c r="M741" t="s">
        <v>27</v>
      </c>
      <c r="N741" t="s">
        <v>19</v>
      </c>
    </row>
    <row r="742" spans="1:14" x14ac:dyDescent="0.3">
      <c r="A742" s="1">
        <v>45207</v>
      </c>
      <c r="B742" s="1" t="str">
        <f t="shared" si="44"/>
        <v>Oct</v>
      </c>
      <c r="C742" s="1" t="str">
        <f t="shared" si="45"/>
        <v>2023</v>
      </c>
      <c r="D742" t="s">
        <v>14</v>
      </c>
      <c r="E742" t="s">
        <v>21</v>
      </c>
      <c r="F742" t="s">
        <v>16</v>
      </c>
      <c r="G742">
        <v>2933.54</v>
      </c>
      <c r="H742">
        <v>3307.75</v>
      </c>
      <c r="I742">
        <v>33</v>
      </c>
      <c r="J742">
        <f t="shared" si="46"/>
        <v>109155.75</v>
      </c>
      <c r="K742">
        <f t="shared" si="47"/>
        <v>12348.93</v>
      </c>
      <c r="L742" t="s">
        <v>17</v>
      </c>
      <c r="M742" t="s">
        <v>27</v>
      </c>
      <c r="N742" t="s">
        <v>22</v>
      </c>
    </row>
    <row r="743" spans="1:14" x14ac:dyDescent="0.3">
      <c r="A743" s="1">
        <v>45207</v>
      </c>
      <c r="B743" s="1" t="str">
        <f t="shared" si="44"/>
        <v>Oct</v>
      </c>
      <c r="C743" s="1" t="str">
        <f t="shared" si="45"/>
        <v>2023</v>
      </c>
      <c r="D743" t="s">
        <v>38</v>
      </c>
      <c r="E743" t="s">
        <v>34</v>
      </c>
      <c r="F743" t="s">
        <v>26</v>
      </c>
      <c r="G743">
        <v>2025.67</v>
      </c>
      <c r="H743">
        <v>2081.5500000000002</v>
      </c>
      <c r="I743">
        <v>11</v>
      </c>
      <c r="J743">
        <f t="shared" si="46"/>
        <v>22897.050000000003</v>
      </c>
      <c r="K743">
        <f t="shared" si="47"/>
        <v>614.6800000000012</v>
      </c>
      <c r="L743" t="s">
        <v>30</v>
      </c>
      <c r="M743" t="s">
        <v>27</v>
      </c>
      <c r="N743" t="s">
        <v>19</v>
      </c>
    </row>
    <row r="744" spans="1:14" x14ac:dyDescent="0.3">
      <c r="A744" s="1">
        <v>45208</v>
      </c>
      <c r="B744" s="1" t="str">
        <f t="shared" si="44"/>
        <v>Oct</v>
      </c>
      <c r="C744" s="1" t="str">
        <f t="shared" si="45"/>
        <v>2023</v>
      </c>
      <c r="D744" t="s">
        <v>24</v>
      </c>
      <c r="E744" t="s">
        <v>21</v>
      </c>
      <c r="F744" t="s">
        <v>35</v>
      </c>
      <c r="G744">
        <v>1509.98</v>
      </c>
      <c r="H744">
        <v>1792.83</v>
      </c>
      <c r="I744">
        <v>41</v>
      </c>
      <c r="J744">
        <f t="shared" si="46"/>
        <v>73506.03</v>
      </c>
      <c r="K744">
        <f t="shared" si="47"/>
        <v>11596.849999999997</v>
      </c>
      <c r="L744" t="s">
        <v>30</v>
      </c>
      <c r="M744" t="s">
        <v>18</v>
      </c>
      <c r="N744" t="s">
        <v>22</v>
      </c>
    </row>
    <row r="745" spans="1:14" x14ac:dyDescent="0.3">
      <c r="A745" s="1">
        <v>45208</v>
      </c>
      <c r="B745" s="1" t="str">
        <f t="shared" si="44"/>
        <v>Oct</v>
      </c>
      <c r="C745" s="1" t="str">
        <f t="shared" si="45"/>
        <v>2023</v>
      </c>
      <c r="D745" t="s">
        <v>14</v>
      </c>
      <c r="E745" t="s">
        <v>34</v>
      </c>
      <c r="F745" t="s">
        <v>35</v>
      </c>
      <c r="G745">
        <v>1581.59</v>
      </c>
      <c r="H745">
        <v>2034.1499999999901</v>
      </c>
      <c r="I745">
        <v>4</v>
      </c>
      <c r="J745">
        <f t="shared" si="46"/>
        <v>8136.5999999999603</v>
      </c>
      <c r="K745">
        <f t="shared" si="47"/>
        <v>1810.2399999999607</v>
      </c>
      <c r="L745" t="s">
        <v>17</v>
      </c>
      <c r="M745" t="s">
        <v>18</v>
      </c>
      <c r="N745" t="s">
        <v>19</v>
      </c>
    </row>
    <row r="746" spans="1:14" x14ac:dyDescent="0.3">
      <c r="A746" s="1">
        <v>45208</v>
      </c>
      <c r="B746" s="1" t="str">
        <f t="shared" si="44"/>
        <v>Oct</v>
      </c>
      <c r="C746" s="1" t="str">
        <f t="shared" si="45"/>
        <v>2023</v>
      </c>
      <c r="D746" t="s">
        <v>33</v>
      </c>
      <c r="E746" t="s">
        <v>21</v>
      </c>
      <c r="F746" t="s">
        <v>29</v>
      </c>
      <c r="G746">
        <v>2228.35</v>
      </c>
      <c r="H746">
        <v>2682.34</v>
      </c>
      <c r="I746">
        <v>18</v>
      </c>
      <c r="J746">
        <f t="shared" si="46"/>
        <v>48282.12</v>
      </c>
      <c r="K746">
        <f t="shared" si="47"/>
        <v>8171.8200000000043</v>
      </c>
      <c r="L746" t="s">
        <v>30</v>
      </c>
      <c r="M746" t="s">
        <v>27</v>
      </c>
      <c r="N746" t="s">
        <v>19</v>
      </c>
    </row>
    <row r="747" spans="1:14" x14ac:dyDescent="0.3">
      <c r="A747" s="1">
        <v>45208</v>
      </c>
      <c r="B747" s="1" t="str">
        <f t="shared" si="44"/>
        <v>Oct</v>
      </c>
      <c r="C747" s="1" t="str">
        <f t="shared" si="45"/>
        <v>2023</v>
      </c>
      <c r="D747" t="s">
        <v>24</v>
      </c>
      <c r="E747" t="s">
        <v>15</v>
      </c>
      <c r="F747" t="s">
        <v>29</v>
      </c>
      <c r="G747">
        <v>621.04999999999995</v>
      </c>
      <c r="H747">
        <v>820.36999999999898</v>
      </c>
      <c r="I747">
        <v>21</v>
      </c>
      <c r="J747">
        <f t="shared" si="46"/>
        <v>17227.769999999979</v>
      </c>
      <c r="K747">
        <f t="shared" si="47"/>
        <v>4185.7199999999793</v>
      </c>
      <c r="L747" t="s">
        <v>17</v>
      </c>
      <c r="M747" t="s">
        <v>27</v>
      </c>
      <c r="N747" t="s">
        <v>19</v>
      </c>
    </row>
    <row r="748" spans="1:14" x14ac:dyDescent="0.3">
      <c r="A748" s="1">
        <v>45209</v>
      </c>
      <c r="B748" s="1" t="str">
        <f t="shared" si="44"/>
        <v>Oct</v>
      </c>
      <c r="C748" s="1" t="str">
        <f t="shared" si="45"/>
        <v>2023</v>
      </c>
      <c r="D748" t="s">
        <v>24</v>
      </c>
      <c r="E748" t="s">
        <v>21</v>
      </c>
      <c r="F748" t="s">
        <v>16</v>
      </c>
      <c r="G748">
        <v>2602.6</v>
      </c>
      <c r="H748">
        <v>3013.49</v>
      </c>
      <c r="I748">
        <v>18</v>
      </c>
      <c r="J748">
        <f t="shared" si="46"/>
        <v>54242.819999999992</v>
      </c>
      <c r="K748">
        <f t="shared" si="47"/>
        <v>7396.0199999999977</v>
      </c>
      <c r="L748" t="s">
        <v>17</v>
      </c>
      <c r="M748" t="s">
        <v>27</v>
      </c>
      <c r="N748" t="s">
        <v>19</v>
      </c>
    </row>
    <row r="749" spans="1:14" x14ac:dyDescent="0.3">
      <c r="A749" s="1">
        <v>45210</v>
      </c>
      <c r="B749" s="1" t="str">
        <f t="shared" si="44"/>
        <v>Oct</v>
      </c>
      <c r="C749" s="1" t="str">
        <f t="shared" si="45"/>
        <v>2023</v>
      </c>
      <c r="D749" t="s">
        <v>38</v>
      </c>
      <c r="E749" t="s">
        <v>25</v>
      </c>
      <c r="F749" t="s">
        <v>35</v>
      </c>
      <c r="G749">
        <v>2866.47</v>
      </c>
      <c r="H749">
        <v>3286.47</v>
      </c>
      <c r="I749">
        <v>32</v>
      </c>
      <c r="J749">
        <f t="shared" si="46"/>
        <v>105167.03999999999</v>
      </c>
      <c r="K749">
        <f t="shared" si="47"/>
        <v>13440</v>
      </c>
      <c r="L749" t="s">
        <v>30</v>
      </c>
      <c r="M749" t="s">
        <v>31</v>
      </c>
      <c r="N749" t="s">
        <v>19</v>
      </c>
    </row>
    <row r="750" spans="1:14" x14ac:dyDescent="0.3">
      <c r="A750" s="1">
        <v>45211</v>
      </c>
      <c r="B750" s="1" t="str">
        <f t="shared" si="44"/>
        <v>Oct</v>
      </c>
      <c r="C750" s="1" t="str">
        <f t="shared" si="45"/>
        <v>2023</v>
      </c>
      <c r="D750" t="s">
        <v>33</v>
      </c>
      <c r="E750" t="s">
        <v>15</v>
      </c>
      <c r="F750" t="s">
        <v>16</v>
      </c>
      <c r="G750">
        <v>4298.74</v>
      </c>
      <c r="H750">
        <v>4475.1899999999996</v>
      </c>
      <c r="I750">
        <v>20</v>
      </c>
      <c r="J750">
        <f t="shared" si="46"/>
        <v>89503.799999999988</v>
      </c>
      <c r="K750">
        <f t="shared" si="47"/>
        <v>3528.9999999999964</v>
      </c>
      <c r="L750" t="s">
        <v>17</v>
      </c>
      <c r="M750" t="s">
        <v>18</v>
      </c>
      <c r="N750" t="s">
        <v>19</v>
      </c>
    </row>
    <row r="751" spans="1:14" x14ac:dyDescent="0.3">
      <c r="A751" s="1">
        <v>45211</v>
      </c>
      <c r="B751" s="1" t="str">
        <f t="shared" si="44"/>
        <v>Oct</v>
      </c>
      <c r="C751" s="1" t="str">
        <f t="shared" si="45"/>
        <v>2023</v>
      </c>
      <c r="D751" t="s">
        <v>33</v>
      </c>
      <c r="E751" t="s">
        <v>21</v>
      </c>
      <c r="F751" t="s">
        <v>29</v>
      </c>
      <c r="G751">
        <v>4977.78</v>
      </c>
      <c r="H751">
        <v>4995.55</v>
      </c>
      <c r="I751">
        <v>16</v>
      </c>
      <c r="J751">
        <f t="shared" si="46"/>
        <v>79928.800000000003</v>
      </c>
      <c r="K751">
        <f t="shared" si="47"/>
        <v>284.32000000000698</v>
      </c>
      <c r="L751" t="s">
        <v>30</v>
      </c>
      <c r="M751" t="s">
        <v>31</v>
      </c>
      <c r="N751" t="s">
        <v>19</v>
      </c>
    </row>
    <row r="752" spans="1:14" x14ac:dyDescent="0.3">
      <c r="A752" s="1">
        <v>45211</v>
      </c>
      <c r="B752" s="1" t="str">
        <f t="shared" si="44"/>
        <v>Oct</v>
      </c>
      <c r="C752" s="1" t="str">
        <f t="shared" si="45"/>
        <v>2023</v>
      </c>
      <c r="D752" t="s">
        <v>42</v>
      </c>
      <c r="E752" t="s">
        <v>15</v>
      </c>
      <c r="F752" t="s">
        <v>29</v>
      </c>
      <c r="G752">
        <v>1291.9100000000001</v>
      </c>
      <c r="H752">
        <v>1528.59</v>
      </c>
      <c r="I752">
        <v>17</v>
      </c>
      <c r="J752">
        <f t="shared" si="46"/>
        <v>25986.03</v>
      </c>
      <c r="K752">
        <f t="shared" si="47"/>
        <v>4023.5599999999972</v>
      </c>
      <c r="L752" t="s">
        <v>17</v>
      </c>
      <c r="M752" t="s">
        <v>31</v>
      </c>
      <c r="N752" t="s">
        <v>22</v>
      </c>
    </row>
    <row r="753" spans="1:14" x14ac:dyDescent="0.3">
      <c r="A753" s="1">
        <v>45211</v>
      </c>
      <c r="B753" s="1" t="str">
        <f t="shared" si="44"/>
        <v>Oct</v>
      </c>
      <c r="C753" s="1" t="str">
        <f t="shared" si="45"/>
        <v>2023</v>
      </c>
      <c r="D753" t="s">
        <v>24</v>
      </c>
      <c r="E753" t="s">
        <v>15</v>
      </c>
      <c r="F753" t="s">
        <v>35</v>
      </c>
      <c r="G753">
        <v>3136.42</v>
      </c>
      <c r="H753">
        <v>3198.49</v>
      </c>
      <c r="I753">
        <v>46</v>
      </c>
      <c r="J753">
        <f t="shared" si="46"/>
        <v>147130.53999999998</v>
      </c>
      <c r="K753">
        <f t="shared" si="47"/>
        <v>2855.2199999999866</v>
      </c>
      <c r="L753" t="s">
        <v>17</v>
      </c>
      <c r="M753" t="s">
        <v>18</v>
      </c>
      <c r="N753" t="s">
        <v>22</v>
      </c>
    </row>
    <row r="754" spans="1:14" x14ac:dyDescent="0.3">
      <c r="A754" s="1">
        <v>45211</v>
      </c>
      <c r="B754" s="1" t="str">
        <f t="shared" si="44"/>
        <v>Oct</v>
      </c>
      <c r="C754" s="1" t="str">
        <f t="shared" si="45"/>
        <v>2023</v>
      </c>
      <c r="D754" t="s">
        <v>24</v>
      </c>
      <c r="E754" t="s">
        <v>25</v>
      </c>
      <c r="F754" t="s">
        <v>35</v>
      </c>
      <c r="G754">
        <v>557.52</v>
      </c>
      <c r="H754">
        <v>822.39</v>
      </c>
      <c r="I754">
        <v>23</v>
      </c>
      <c r="J754">
        <f t="shared" si="46"/>
        <v>18914.97</v>
      </c>
      <c r="K754">
        <f t="shared" si="47"/>
        <v>6092.01</v>
      </c>
      <c r="L754" t="s">
        <v>17</v>
      </c>
      <c r="M754" t="s">
        <v>31</v>
      </c>
      <c r="N754" t="s">
        <v>19</v>
      </c>
    </row>
    <row r="755" spans="1:14" x14ac:dyDescent="0.3">
      <c r="A755" s="1">
        <v>45211</v>
      </c>
      <c r="B755" s="1" t="str">
        <f t="shared" si="44"/>
        <v>Oct</v>
      </c>
      <c r="C755" s="1" t="str">
        <f t="shared" si="45"/>
        <v>2023</v>
      </c>
      <c r="D755" t="s">
        <v>24</v>
      </c>
      <c r="E755" t="s">
        <v>25</v>
      </c>
      <c r="F755" t="s">
        <v>16</v>
      </c>
      <c r="G755">
        <v>3512.69</v>
      </c>
      <c r="H755">
        <v>3964.63</v>
      </c>
      <c r="I755">
        <v>25</v>
      </c>
      <c r="J755">
        <f t="shared" si="46"/>
        <v>99115.75</v>
      </c>
      <c r="K755">
        <f t="shared" si="47"/>
        <v>11298.500000000002</v>
      </c>
      <c r="L755" t="s">
        <v>17</v>
      </c>
      <c r="M755" t="s">
        <v>31</v>
      </c>
      <c r="N755" t="s">
        <v>22</v>
      </c>
    </row>
    <row r="756" spans="1:14" x14ac:dyDescent="0.3">
      <c r="A756" s="1">
        <v>45212</v>
      </c>
      <c r="B756" s="1" t="str">
        <f t="shared" si="44"/>
        <v>Oct</v>
      </c>
      <c r="C756" s="1" t="str">
        <f t="shared" si="45"/>
        <v>2023</v>
      </c>
      <c r="D756" t="s">
        <v>38</v>
      </c>
      <c r="E756" t="s">
        <v>21</v>
      </c>
      <c r="F756" t="s">
        <v>35</v>
      </c>
      <c r="G756">
        <v>1542.24</v>
      </c>
      <c r="H756">
        <v>1739.45</v>
      </c>
      <c r="I756">
        <v>24</v>
      </c>
      <c r="J756">
        <f t="shared" si="46"/>
        <v>41746.800000000003</v>
      </c>
      <c r="K756">
        <f t="shared" si="47"/>
        <v>4733.0400000000009</v>
      </c>
      <c r="L756" t="s">
        <v>17</v>
      </c>
      <c r="M756" t="s">
        <v>27</v>
      </c>
      <c r="N756" t="s">
        <v>22</v>
      </c>
    </row>
    <row r="757" spans="1:14" x14ac:dyDescent="0.3">
      <c r="A757" s="1">
        <v>45212</v>
      </c>
      <c r="B757" s="1" t="str">
        <f t="shared" si="44"/>
        <v>Oct</v>
      </c>
      <c r="C757" s="1" t="str">
        <f t="shared" si="45"/>
        <v>2023</v>
      </c>
      <c r="D757" t="s">
        <v>33</v>
      </c>
      <c r="E757" t="s">
        <v>15</v>
      </c>
      <c r="F757" t="s">
        <v>26</v>
      </c>
      <c r="G757">
        <v>1996.64</v>
      </c>
      <c r="H757">
        <v>2341.4699999999998</v>
      </c>
      <c r="I757">
        <v>14</v>
      </c>
      <c r="J757">
        <f t="shared" si="46"/>
        <v>32780.579999999994</v>
      </c>
      <c r="K757">
        <f t="shared" si="47"/>
        <v>4827.6199999999953</v>
      </c>
      <c r="L757" t="s">
        <v>17</v>
      </c>
      <c r="M757" t="s">
        <v>31</v>
      </c>
      <c r="N757" t="s">
        <v>19</v>
      </c>
    </row>
    <row r="758" spans="1:14" x14ac:dyDescent="0.3">
      <c r="A758" s="1">
        <v>45213</v>
      </c>
      <c r="B758" s="1" t="str">
        <f t="shared" si="44"/>
        <v>Oct</v>
      </c>
      <c r="C758" s="1" t="str">
        <f t="shared" si="45"/>
        <v>2023</v>
      </c>
      <c r="D758" t="s">
        <v>24</v>
      </c>
      <c r="E758" t="s">
        <v>25</v>
      </c>
      <c r="F758" t="s">
        <v>29</v>
      </c>
      <c r="G758">
        <v>1004.71</v>
      </c>
      <c r="H758">
        <v>1389.35</v>
      </c>
      <c r="I758">
        <v>39</v>
      </c>
      <c r="J758">
        <f t="shared" si="46"/>
        <v>54184.649999999994</v>
      </c>
      <c r="K758">
        <f t="shared" si="47"/>
        <v>15000.959999999995</v>
      </c>
      <c r="L758" t="s">
        <v>30</v>
      </c>
      <c r="M758" t="s">
        <v>27</v>
      </c>
      <c r="N758" t="s">
        <v>19</v>
      </c>
    </row>
    <row r="759" spans="1:14" x14ac:dyDescent="0.3">
      <c r="A759" s="1">
        <v>45213</v>
      </c>
      <c r="B759" s="1" t="str">
        <f t="shared" si="44"/>
        <v>Oct</v>
      </c>
      <c r="C759" s="1" t="str">
        <f t="shared" si="45"/>
        <v>2023</v>
      </c>
      <c r="D759" t="s">
        <v>33</v>
      </c>
      <c r="E759" t="s">
        <v>25</v>
      </c>
      <c r="F759" t="s">
        <v>26</v>
      </c>
      <c r="G759">
        <v>1727.78</v>
      </c>
      <c r="H759">
        <v>1984.34</v>
      </c>
      <c r="I759">
        <v>23</v>
      </c>
      <c r="J759">
        <f t="shared" si="46"/>
        <v>45639.82</v>
      </c>
      <c r="K759">
        <f t="shared" si="47"/>
        <v>5900.8799999999992</v>
      </c>
      <c r="L759" t="s">
        <v>17</v>
      </c>
      <c r="M759" t="s">
        <v>27</v>
      </c>
      <c r="N759" t="s">
        <v>19</v>
      </c>
    </row>
    <row r="760" spans="1:14" x14ac:dyDescent="0.3">
      <c r="A760" s="1">
        <v>45214</v>
      </c>
      <c r="B760" s="1" t="str">
        <f t="shared" si="44"/>
        <v>Oct</v>
      </c>
      <c r="C760" s="1" t="str">
        <f t="shared" si="45"/>
        <v>2023</v>
      </c>
      <c r="D760" t="s">
        <v>24</v>
      </c>
      <c r="E760" t="s">
        <v>15</v>
      </c>
      <c r="F760" t="s">
        <v>26</v>
      </c>
      <c r="G760">
        <v>1485.72</v>
      </c>
      <c r="H760">
        <v>1717.97</v>
      </c>
      <c r="I760">
        <v>44</v>
      </c>
      <c r="J760">
        <f t="shared" si="46"/>
        <v>75590.680000000008</v>
      </c>
      <c r="K760">
        <f t="shared" si="47"/>
        <v>10219</v>
      </c>
      <c r="L760" t="s">
        <v>30</v>
      </c>
      <c r="M760" t="s">
        <v>31</v>
      </c>
      <c r="N760" t="s">
        <v>22</v>
      </c>
    </row>
    <row r="761" spans="1:14" x14ac:dyDescent="0.3">
      <c r="A761" s="1">
        <v>45214</v>
      </c>
      <c r="B761" s="1" t="str">
        <f t="shared" si="44"/>
        <v>Oct</v>
      </c>
      <c r="C761" s="1" t="str">
        <f t="shared" si="45"/>
        <v>2023</v>
      </c>
      <c r="D761" t="s">
        <v>24</v>
      </c>
      <c r="E761" t="s">
        <v>15</v>
      </c>
      <c r="F761" t="s">
        <v>16</v>
      </c>
      <c r="G761">
        <v>610.83000000000004</v>
      </c>
      <c r="H761">
        <v>808.69</v>
      </c>
      <c r="I761">
        <v>1</v>
      </c>
      <c r="J761">
        <f t="shared" si="46"/>
        <v>808.69</v>
      </c>
      <c r="K761">
        <f t="shared" si="47"/>
        <v>197.86</v>
      </c>
      <c r="L761" t="s">
        <v>30</v>
      </c>
      <c r="M761" t="s">
        <v>31</v>
      </c>
      <c r="N761" t="s">
        <v>19</v>
      </c>
    </row>
    <row r="762" spans="1:14" x14ac:dyDescent="0.3">
      <c r="A762" s="1">
        <v>45214</v>
      </c>
      <c r="B762" s="1" t="str">
        <f t="shared" si="44"/>
        <v>Oct</v>
      </c>
      <c r="C762" s="1" t="str">
        <f t="shared" si="45"/>
        <v>2023</v>
      </c>
      <c r="D762" t="s">
        <v>24</v>
      </c>
      <c r="E762" t="s">
        <v>21</v>
      </c>
      <c r="F762" t="s">
        <v>29</v>
      </c>
      <c r="G762">
        <v>2709.84</v>
      </c>
      <c r="H762">
        <v>2766.51</v>
      </c>
      <c r="I762">
        <v>31</v>
      </c>
      <c r="J762">
        <f t="shared" si="46"/>
        <v>85761.810000000012</v>
      </c>
      <c r="K762">
        <f t="shared" si="47"/>
        <v>1756.7700000000023</v>
      </c>
      <c r="L762" t="s">
        <v>30</v>
      </c>
      <c r="M762" t="s">
        <v>18</v>
      </c>
      <c r="N762" t="s">
        <v>22</v>
      </c>
    </row>
    <row r="763" spans="1:14" x14ac:dyDescent="0.3">
      <c r="A763" s="1">
        <v>45214</v>
      </c>
      <c r="B763" s="1" t="str">
        <f t="shared" si="44"/>
        <v>Oct</v>
      </c>
      <c r="C763" s="1" t="str">
        <f t="shared" si="45"/>
        <v>2023</v>
      </c>
      <c r="D763" t="s">
        <v>33</v>
      </c>
      <c r="E763" t="s">
        <v>15</v>
      </c>
      <c r="F763" t="s">
        <v>35</v>
      </c>
      <c r="G763">
        <v>3139.99</v>
      </c>
      <c r="H763">
        <v>3349.37</v>
      </c>
      <c r="I763">
        <v>42</v>
      </c>
      <c r="J763">
        <f t="shared" si="46"/>
        <v>140673.54</v>
      </c>
      <c r="K763">
        <f t="shared" si="47"/>
        <v>8793.9600000000046</v>
      </c>
      <c r="L763" t="s">
        <v>17</v>
      </c>
      <c r="M763" t="s">
        <v>31</v>
      </c>
      <c r="N763" t="s">
        <v>22</v>
      </c>
    </row>
    <row r="764" spans="1:14" x14ac:dyDescent="0.3">
      <c r="A764" s="1">
        <v>45214</v>
      </c>
      <c r="B764" s="1" t="str">
        <f t="shared" si="44"/>
        <v>Oct</v>
      </c>
      <c r="C764" s="1" t="str">
        <f t="shared" si="45"/>
        <v>2023</v>
      </c>
      <c r="D764" t="s">
        <v>14</v>
      </c>
      <c r="E764" t="s">
        <v>21</v>
      </c>
      <c r="F764" t="s">
        <v>26</v>
      </c>
      <c r="G764">
        <v>3663.51</v>
      </c>
      <c r="H764">
        <v>4007.98</v>
      </c>
      <c r="I764">
        <v>46</v>
      </c>
      <c r="J764">
        <f t="shared" si="46"/>
        <v>184367.08</v>
      </c>
      <c r="K764">
        <f t="shared" si="47"/>
        <v>15845.619999999992</v>
      </c>
      <c r="L764" t="s">
        <v>30</v>
      </c>
      <c r="M764" t="s">
        <v>18</v>
      </c>
      <c r="N764" t="s">
        <v>19</v>
      </c>
    </row>
    <row r="765" spans="1:14" x14ac:dyDescent="0.3">
      <c r="A765" s="1">
        <v>45214</v>
      </c>
      <c r="B765" s="1" t="str">
        <f t="shared" si="44"/>
        <v>Oct</v>
      </c>
      <c r="C765" s="1" t="str">
        <f t="shared" si="45"/>
        <v>2023</v>
      </c>
      <c r="D765" t="s">
        <v>33</v>
      </c>
      <c r="E765" t="s">
        <v>25</v>
      </c>
      <c r="F765" t="s">
        <v>35</v>
      </c>
      <c r="G765">
        <v>4766.53</v>
      </c>
      <c r="H765">
        <v>5253.07</v>
      </c>
      <c r="I765">
        <v>48</v>
      </c>
      <c r="J765">
        <f t="shared" si="46"/>
        <v>252147.36</v>
      </c>
      <c r="K765">
        <f t="shared" si="47"/>
        <v>23353.919999999998</v>
      </c>
      <c r="L765" t="s">
        <v>17</v>
      </c>
      <c r="M765" t="s">
        <v>27</v>
      </c>
      <c r="N765" t="s">
        <v>19</v>
      </c>
    </row>
    <row r="766" spans="1:14" x14ac:dyDescent="0.3">
      <c r="A766" s="1">
        <v>45214</v>
      </c>
      <c r="B766" s="1" t="str">
        <f t="shared" si="44"/>
        <v>Oct</v>
      </c>
      <c r="C766" s="1" t="str">
        <f t="shared" si="45"/>
        <v>2023</v>
      </c>
      <c r="D766" t="s">
        <v>24</v>
      </c>
      <c r="E766" t="s">
        <v>34</v>
      </c>
      <c r="F766" t="s">
        <v>35</v>
      </c>
      <c r="G766">
        <v>3592.89</v>
      </c>
      <c r="H766">
        <v>4004</v>
      </c>
      <c r="I766">
        <v>39</v>
      </c>
      <c r="J766">
        <f t="shared" si="46"/>
        <v>156156</v>
      </c>
      <c r="K766">
        <f t="shared" si="47"/>
        <v>16033.290000000005</v>
      </c>
      <c r="L766" t="s">
        <v>30</v>
      </c>
      <c r="M766" t="s">
        <v>18</v>
      </c>
      <c r="N766" t="s">
        <v>19</v>
      </c>
    </row>
    <row r="767" spans="1:14" x14ac:dyDescent="0.3">
      <c r="A767" s="1">
        <v>45215</v>
      </c>
      <c r="B767" s="1" t="str">
        <f t="shared" si="44"/>
        <v>Oct</v>
      </c>
      <c r="C767" s="1" t="str">
        <f t="shared" si="45"/>
        <v>2023</v>
      </c>
      <c r="D767" t="s">
        <v>33</v>
      </c>
      <c r="E767" t="s">
        <v>15</v>
      </c>
      <c r="F767" t="s">
        <v>26</v>
      </c>
      <c r="G767">
        <v>2937.94</v>
      </c>
      <c r="H767">
        <v>3007.53</v>
      </c>
      <c r="I767">
        <v>23</v>
      </c>
      <c r="J767">
        <f t="shared" si="46"/>
        <v>69173.19</v>
      </c>
      <c r="K767">
        <f t="shared" si="47"/>
        <v>1600.5700000000033</v>
      </c>
      <c r="L767" t="s">
        <v>17</v>
      </c>
      <c r="M767" t="s">
        <v>18</v>
      </c>
      <c r="N767" t="s">
        <v>22</v>
      </c>
    </row>
    <row r="768" spans="1:14" x14ac:dyDescent="0.3">
      <c r="A768" s="1">
        <v>45215</v>
      </c>
      <c r="B768" s="1" t="str">
        <f t="shared" si="44"/>
        <v>Oct</v>
      </c>
      <c r="C768" s="1" t="str">
        <f t="shared" si="45"/>
        <v>2023</v>
      </c>
      <c r="D768" t="s">
        <v>38</v>
      </c>
      <c r="E768" t="s">
        <v>21</v>
      </c>
      <c r="F768" t="s">
        <v>35</v>
      </c>
      <c r="G768">
        <v>3094.57</v>
      </c>
      <c r="H768">
        <v>3565.6</v>
      </c>
      <c r="I768">
        <v>11</v>
      </c>
      <c r="J768">
        <f t="shared" si="46"/>
        <v>39221.599999999999</v>
      </c>
      <c r="K768">
        <f t="shared" si="47"/>
        <v>5181.3299999999972</v>
      </c>
      <c r="L768" t="s">
        <v>17</v>
      </c>
      <c r="M768" t="s">
        <v>31</v>
      </c>
      <c r="N768" t="s">
        <v>22</v>
      </c>
    </row>
    <row r="769" spans="1:14" x14ac:dyDescent="0.3">
      <c r="A769" s="1">
        <v>45215</v>
      </c>
      <c r="B769" s="1" t="str">
        <f t="shared" si="44"/>
        <v>Oct</v>
      </c>
      <c r="C769" s="1" t="str">
        <f t="shared" si="45"/>
        <v>2023</v>
      </c>
      <c r="D769" t="s">
        <v>42</v>
      </c>
      <c r="E769" t="s">
        <v>21</v>
      </c>
      <c r="F769" t="s">
        <v>29</v>
      </c>
      <c r="G769">
        <v>287.99</v>
      </c>
      <c r="H769">
        <v>666.64</v>
      </c>
      <c r="I769">
        <v>43</v>
      </c>
      <c r="J769">
        <f t="shared" si="46"/>
        <v>28665.52</v>
      </c>
      <c r="K769">
        <f t="shared" si="47"/>
        <v>16281.949999999999</v>
      </c>
      <c r="L769" t="s">
        <v>17</v>
      </c>
      <c r="M769" t="s">
        <v>27</v>
      </c>
      <c r="N769" t="s">
        <v>19</v>
      </c>
    </row>
    <row r="770" spans="1:14" x14ac:dyDescent="0.3">
      <c r="A770" s="1">
        <v>45215</v>
      </c>
      <c r="B770" s="1" t="str">
        <f t="shared" ref="B770:B833" si="48">TEXT(A770,"MMM")</f>
        <v>Oct</v>
      </c>
      <c r="C770" s="1" t="str">
        <f t="shared" ref="C770:C833" si="49">TEXT(A770,"YYYY")</f>
        <v>2023</v>
      </c>
      <c r="D770" t="s">
        <v>14</v>
      </c>
      <c r="E770" t="s">
        <v>15</v>
      </c>
      <c r="F770" t="s">
        <v>16</v>
      </c>
      <c r="G770">
        <v>121.19</v>
      </c>
      <c r="H770">
        <v>487.65</v>
      </c>
      <c r="I770">
        <v>48</v>
      </c>
      <c r="J770">
        <f t="shared" ref="J770:J833" si="50">(I770*H770)</f>
        <v>23407.199999999997</v>
      </c>
      <c r="K770">
        <f t="shared" ref="K770:K833" si="51">(H770-G770)*I770</f>
        <v>17590.079999999998</v>
      </c>
      <c r="L770" t="s">
        <v>30</v>
      </c>
      <c r="M770" t="s">
        <v>18</v>
      </c>
      <c r="N770" t="s">
        <v>22</v>
      </c>
    </row>
    <row r="771" spans="1:14" x14ac:dyDescent="0.3">
      <c r="A771" s="1">
        <v>45215</v>
      </c>
      <c r="B771" s="1" t="str">
        <f t="shared" si="48"/>
        <v>Oct</v>
      </c>
      <c r="C771" s="1" t="str">
        <f t="shared" si="49"/>
        <v>2023</v>
      </c>
      <c r="D771" t="s">
        <v>24</v>
      </c>
      <c r="E771" t="s">
        <v>34</v>
      </c>
      <c r="F771" t="s">
        <v>29</v>
      </c>
      <c r="G771">
        <v>4173.5200000000004</v>
      </c>
      <c r="H771">
        <v>4294.8500000000004</v>
      </c>
      <c r="I771">
        <v>46</v>
      </c>
      <c r="J771">
        <f t="shared" si="50"/>
        <v>197563.1</v>
      </c>
      <c r="K771">
        <f t="shared" si="51"/>
        <v>5581.1799999999967</v>
      </c>
      <c r="L771" t="s">
        <v>17</v>
      </c>
      <c r="M771" t="s">
        <v>27</v>
      </c>
      <c r="N771" t="s">
        <v>22</v>
      </c>
    </row>
    <row r="772" spans="1:14" x14ac:dyDescent="0.3">
      <c r="A772" s="1">
        <v>45215</v>
      </c>
      <c r="B772" s="1" t="str">
        <f t="shared" si="48"/>
        <v>Oct</v>
      </c>
      <c r="C772" s="1" t="str">
        <f t="shared" si="49"/>
        <v>2023</v>
      </c>
      <c r="D772" t="s">
        <v>38</v>
      </c>
      <c r="E772" t="s">
        <v>34</v>
      </c>
      <c r="F772" t="s">
        <v>16</v>
      </c>
      <c r="G772">
        <v>4651.7700000000004</v>
      </c>
      <c r="H772">
        <v>4984.3900000000003</v>
      </c>
      <c r="I772">
        <v>37</v>
      </c>
      <c r="J772">
        <f t="shared" si="50"/>
        <v>184422.43000000002</v>
      </c>
      <c r="K772">
        <f t="shared" si="51"/>
        <v>12306.939999999995</v>
      </c>
      <c r="L772" t="s">
        <v>17</v>
      </c>
      <c r="M772" t="s">
        <v>18</v>
      </c>
      <c r="N772" t="s">
        <v>22</v>
      </c>
    </row>
    <row r="773" spans="1:14" x14ac:dyDescent="0.3">
      <c r="A773" s="1">
        <v>45215</v>
      </c>
      <c r="B773" s="1" t="str">
        <f t="shared" si="48"/>
        <v>Oct</v>
      </c>
      <c r="C773" s="1" t="str">
        <f t="shared" si="49"/>
        <v>2023</v>
      </c>
      <c r="D773" t="s">
        <v>33</v>
      </c>
      <c r="E773" t="s">
        <v>15</v>
      </c>
      <c r="F773" t="s">
        <v>29</v>
      </c>
      <c r="G773">
        <v>1134.67</v>
      </c>
      <c r="H773">
        <v>1201.3900000000001</v>
      </c>
      <c r="I773">
        <v>4</v>
      </c>
      <c r="J773">
        <f t="shared" si="50"/>
        <v>4805.5600000000004</v>
      </c>
      <c r="K773">
        <f t="shared" si="51"/>
        <v>266.88000000000011</v>
      </c>
      <c r="L773" t="s">
        <v>30</v>
      </c>
      <c r="M773" t="s">
        <v>27</v>
      </c>
      <c r="N773" t="s">
        <v>22</v>
      </c>
    </row>
    <row r="774" spans="1:14" x14ac:dyDescent="0.3">
      <c r="A774" s="1">
        <v>45217</v>
      </c>
      <c r="B774" s="1" t="str">
        <f t="shared" si="48"/>
        <v>Oct</v>
      </c>
      <c r="C774" s="1" t="str">
        <f t="shared" si="49"/>
        <v>2023</v>
      </c>
      <c r="D774" t="s">
        <v>42</v>
      </c>
      <c r="E774" t="s">
        <v>15</v>
      </c>
      <c r="F774" t="s">
        <v>35</v>
      </c>
      <c r="G774">
        <v>224.32</v>
      </c>
      <c r="H774">
        <v>715.06</v>
      </c>
      <c r="I774">
        <v>28</v>
      </c>
      <c r="J774">
        <f t="shared" si="50"/>
        <v>20021.68</v>
      </c>
      <c r="K774">
        <f t="shared" si="51"/>
        <v>13740.72</v>
      </c>
      <c r="L774" t="s">
        <v>17</v>
      </c>
      <c r="M774" t="s">
        <v>31</v>
      </c>
      <c r="N774" t="s">
        <v>19</v>
      </c>
    </row>
    <row r="775" spans="1:14" x14ac:dyDescent="0.3">
      <c r="A775" s="1">
        <v>45217</v>
      </c>
      <c r="B775" s="1" t="str">
        <f t="shared" si="48"/>
        <v>Oct</v>
      </c>
      <c r="C775" s="1" t="str">
        <f t="shared" si="49"/>
        <v>2023</v>
      </c>
      <c r="D775" t="s">
        <v>38</v>
      </c>
      <c r="E775" t="s">
        <v>21</v>
      </c>
      <c r="F775" t="s">
        <v>16</v>
      </c>
      <c r="G775">
        <v>3016.9</v>
      </c>
      <c r="H775">
        <v>3040.73</v>
      </c>
      <c r="I775">
        <v>16</v>
      </c>
      <c r="J775">
        <f t="shared" si="50"/>
        <v>48651.68</v>
      </c>
      <c r="K775">
        <f t="shared" si="51"/>
        <v>381.27999999999884</v>
      </c>
      <c r="L775" t="s">
        <v>30</v>
      </c>
      <c r="M775" t="s">
        <v>27</v>
      </c>
      <c r="N775" t="s">
        <v>22</v>
      </c>
    </row>
    <row r="776" spans="1:14" x14ac:dyDescent="0.3">
      <c r="A776" s="1">
        <v>45217</v>
      </c>
      <c r="B776" s="1" t="str">
        <f t="shared" si="48"/>
        <v>Oct</v>
      </c>
      <c r="C776" s="1" t="str">
        <f t="shared" si="49"/>
        <v>2023</v>
      </c>
      <c r="D776" t="s">
        <v>24</v>
      </c>
      <c r="E776" t="s">
        <v>15</v>
      </c>
      <c r="F776" t="s">
        <v>26</v>
      </c>
      <c r="G776">
        <v>3841.05</v>
      </c>
      <c r="H776">
        <v>4323.62</v>
      </c>
      <c r="I776">
        <v>15</v>
      </c>
      <c r="J776">
        <f t="shared" si="50"/>
        <v>64854.299999999996</v>
      </c>
      <c r="K776">
        <f t="shared" si="51"/>
        <v>7238.5499999999956</v>
      </c>
      <c r="L776" t="s">
        <v>17</v>
      </c>
      <c r="M776" t="s">
        <v>31</v>
      </c>
      <c r="N776" t="s">
        <v>22</v>
      </c>
    </row>
    <row r="777" spans="1:14" x14ac:dyDescent="0.3">
      <c r="A777" s="1">
        <v>45217</v>
      </c>
      <c r="B777" s="1" t="str">
        <f t="shared" si="48"/>
        <v>Oct</v>
      </c>
      <c r="C777" s="1" t="str">
        <f t="shared" si="49"/>
        <v>2023</v>
      </c>
      <c r="D777" t="s">
        <v>38</v>
      </c>
      <c r="E777" t="s">
        <v>21</v>
      </c>
      <c r="F777" t="s">
        <v>16</v>
      </c>
      <c r="G777">
        <v>725.03</v>
      </c>
      <c r="H777">
        <v>828.94999999999902</v>
      </c>
      <c r="I777">
        <v>21</v>
      </c>
      <c r="J777">
        <f t="shared" si="50"/>
        <v>17407.949999999979</v>
      </c>
      <c r="K777">
        <f t="shared" si="51"/>
        <v>2182.3199999999802</v>
      </c>
      <c r="L777" t="s">
        <v>30</v>
      </c>
      <c r="M777" t="s">
        <v>27</v>
      </c>
      <c r="N777" t="s">
        <v>19</v>
      </c>
    </row>
    <row r="778" spans="1:14" x14ac:dyDescent="0.3">
      <c r="A778" s="1">
        <v>45218</v>
      </c>
      <c r="B778" s="1" t="str">
        <f t="shared" si="48"/>
        <v>Oct</v>
      </c>
      <c r="C778" s="1" t="str">
        <f t="shared" si="49"/>
        <v>2023</v>
      </c>
      <c r="D778" t="s">
        <v>38</v>
      </c>
      <c r="E778" t="s">
        <v>25</v>
      </c>
      <c r="F778" t="s">
        <v>29</v>
      </c>
      <c r="G778">
        <v>4697.4399999999996</v>
      </c>
      <c r="H778">
        <v>4752.24</v>
      </c>
      <c r="I778">
        <v>30</v>
      </c>
      <c r="J778">
        <f t="shared" si="50"/>
        <v>142567.19999999998</v>
      </c>
      <c r="K778">
        <f t="shared" si="51"/>
        <v>1644.0000000000055</v>
      </c>
      <c r="L778" t="s">
        <v>30</v>
      </c>
      <c r="M778" t="s">
        <v>31</v>
      </c>
      <c r="N778" t="s">
        <v>19</v>
      </c>
    </row>
    <row r="779" spans="1:14" x14ac:dyDescent="0.3">
      <c r="A779" s="1">
        <v>45218</v>
      </c>
      <c r="B779" s="1" t="str">
        <f t="shared" si="48"/>
        <v>Oct</v>
      </c>
      <c r="C779" s="1" t="str">
        <f t="shared" si="49"/>
        <v>2023</v>
      </c>
      <c r="D779" t="s">
        <v>38</v>
      </c>
      <c r="E779" t="s">
        <v>21</v>
      </c>
      <c r="F779" t="s">
        <v>26</v>
      </c>
      <c r="G779">
        <v>2120.54</v>
      </c>
      <c r="H779">
        <v>2597.67</v>
      </c>
      <c r="I779">
        <v>23</v>
      </c>
      <c r="J779">
        <f t="shared" si="50"/>
        <v>59746.41</v>
      </c>
      <c r="K779">
        <f t="shared" si="51"/>
        <v>10973.990000000002</v>
      </c>
      <c r="L779" t="s">
        <v>17</v>
      </c>
      <c r="M779" t="s">
        <v>31</v>
      </c>
      <c r="N779" t="s">
        <v>22</v>
      </c>
    </row>
    <row r="780" spans="1:14" x14ac:dyDescent="0.3">
      <c r="A780" s="1">
        <v>45219</v>
      </c>
      <c r="B780" s="1" t="str">
        <f t="shared" si="48"/>
        <v>Oct</v>
      </c>
      <c r="C780" s="1" t="str">
        <f t="shared" si="49"/>
        <v>2023</v>
      </c>
      <c r="D780" t="s">
        <v>24</v>
      </c>
      <c r="E780" t="s">
        <v>15</v>
      </c>
      <c r="F780" t="s">
        <v>29</v>
      </c>
      <c r="G780">
        <v>4646.55</v>
      </c>
      <c r="H780">
        <v>4784.28</v>
      </c>
      <c r="I780">
        <v>30</v>
      </c>
      <c r="J780">
        <f t="shared" si="50"/>
        <v>143528.4</v>
      </c>
      <c r="K780">
        <f t="shared" si="51"/>
        <v>4131.8999999999869</v>
      </c>
      <c r="L780" t="s">
        <v>17</v>
      </c>
      <c r="M780" t="s">
        <v>31</v>
      </c>
      <c r="N780" t="s">
        <v>22</v>
      </c>
    </row>
    <row r="781" spans="1:14" x14ac:dyDescent="0.3">
      <c r="A781" s="1">
        <v>45219</v>
      </c>
      <c r="B781" s="1" t="str">
        <f t="shared" si="48"/>
        <v>Oct</v>
      </c>
      <c r="C781" s="1" t="str">
        <f t="shared" si="49"/>
        <v>2023</v>
      </c>
      <c r="D781" t="s">
        <v>24</v>
      </c>
      <c r="E781" t="s">
        <v>34</v>
      </c>
      <c r="F781" t="s">
        <v>35</v>
      </c>
      <c r="G781">
        <v>1648.8</v>
      </c>
      <c r="H781">
        <v>1670.36</v>
      </c>
      <c r="I781">
        <v>46</v>
      </c>
      <c r="J781">
        <f t="shared" si="50"/>
        <v>76836.56</v>
      </c>
      <c r="K781">
        <f t="shared" si="51"/>
        <v>991.75999999999749</v>
      </c>
      <c r="L781" t="s">
        <v>17</v>
      </c>
      <c r="M781" t="s">
        <v>31</v>
      </c>
      <c r="N781" t="s">
        <v>22</v>
      </c>
    </row>
    <row r="782" spans="1:14" x14ac:dyDescent="0.3">
      <c r="A782" s="1">
        <v>45219</v>
      </c>
      <c r="B782" s="1" t="str">
        <f t="shared" si="48"/>
        <v>Oct</v>
      </c>
      <c r="C782" s="1" t="str">
        <f t="shared" si="49"/>
        <v>2023</v>
      </c>
      <c r="D782" t="s">
        <v>24</v>
      </c>
      <c r="E782" t="s">
        <v>15</v>
      </c>
      <c r="F782" t="s">
        <v>29</v>
      </c>
      <c r="G782">
        <v>1247.0999999999999</v>
      </c>
      <c r="H782">
        <v>1429.4399999999901</v>
      </c>
      <c r="I782">
        <v>49</v>
      </c>
      <c r="J782">
        <f t="shared" si="50"/>
        <v>70042.559999999517</v>
      </c>
      <c r="K782">
        <f t="shared" si="51"/>
        <v>8934.659999999516</v>
      </c>
      <c r="L782" t="s">
        <v>30</v>
      </c>
      <c r="M782" t="s">
        <v>18</v>
      </c>
      <c r="N782" t="s">
        <v>19</v>
      </c>
    </row>
    <row r="783" spans="1:14" x14ac:dyDescent="0.3">
      <c r="A783" s="1">
        <v>45219</v>
      </c>
      <c r="B783" s="1" t="str">
        <f t="shared" si="48"/>
        <v>Oct</v>
      </c>
      <c r="C783" s="1" t="str">
        <f t="shared" si="49"/>
        <v>2023</v>
      </c>
      <c r="D783" t="s">
        <v>33</v>
      </c>
      <c r="E783" t="s">
        <v>25</v>
      </c>
      <c r="F783" t="s">
        <v>26</v>
      </c>
      <c r="G783">
        <v>530.04</v>
      </c>
      <c r="H783">
        <v>759.31999999999903</v>
      </c>
      <c r="I783">
        <v>22</v>
      </c>
      <c r="J783">
        <f t="shared" si="50"/>
        <v>16705.039999999979</v>
      </c>
      <c r="K783">
        <f t="shared" si="51"/>
        <v>5044.1599999999798</v>
      </c>
      <c r="L783" t="s">
        <v>17</v>
      </c>
      <c r="M783" t="s">
        <v>27</v>
      </c>
      <c r="N783" t="s">
        <v>22</v>
      </c>
    </row>
    <row r="784" spans="1:14" x14ac:dyDescent="0.3">
      <c r="A784" s="1">
        <v>45219</v>
      </c>
      <c r="B784" s="1" t="str">
        <f t="shared" si="48"/>
        <v>Oct</v>
      </c>
      <c r="C784" s="1" t="str">
        <f t="shared" si="49"/>
        <v>2023</v>
      </c>
      <c r="D784" t="s">
        <v>42</v>
      </c>
      <c r="E784" t="s">
        <v>25</v>
      </c>
      <c r="F784" t="s">
        <v>35</v>
      </c>
      <c r="G784">
        <v>3717.3</v>
      </c>
      <c r="H784">
        <v>4061.37</v>
      </c>
      <c r="I784">
        <v>6</v>
      </c>
      <c r="J784">
        <f t="shared" si="50"/>
        <v>24368.22</v>
      </c>
      <c r="K784">
        <f t="shared" si="51"/>
        <v>2064.4199999999983</v>
      </c>
      <c r="L784" t="s">
        <v>30</v>
      </c>
      <c r="M784" t="s">
        <v>27</v>
      </c>
      <c r="N784" t="s">
        <v>22</v>
      </c>
    </row>
    <row r="785" spans="1:14" x14ac:dyDescent="0.3">
      <c r="A785" s="1">
        <v>45219</v>
      </c>
      <c r="B785" s="1" t="str">
        <f t="shared" si="48"/>
        <v>Oct</v>
      </c>
      <c r="C785" s="1" t="str">
        <f t="shared" si="49"/>
        <v>2023</v>
      </c>
      <c r="D785" t="s">
        <v>24</v>
      </c>
      <c r="E785" t="s">
        <v>25</v>
      </c>
      <c r="F785" t="s">
        <v>16</v>
      </c>
      <c r="G785">
        <v>84.86</v>
      </c>
      <c r="H785">
        <v>517.17999999999995</v>
      </c>
      <c r="I785">
        <v>32</v>
      </c>
      <c r="J785">
        <f t="shared" si="50"/>
        <v>16549.759999999998</v>
      </c>
      <c r="K785">
        <f t="shared" si="51"/>
        <v>13834.239999999998</v>
      </c>
      <c r="L785" t="s">
        <v>17</v>
      </c>
      <c r="M785" t="s">
        <v>31</v>
      </c>
      <c r="N785" t="s">
        <v>22</v>
      </c>
    </row>
    <row r="786" spans="1:14" x14ac:dyDescent="0.3">
      <c r="A786" s="1">
        <v>45219</v>
      </c>
      <c r="B786" s="1" t="str">
        <f t="shared" si="48"/>
        <v>Oct</v>
      </c>
      <c r="C786" s="1" t="str">
        <f t="shared" si="49"/>
        <v>2023</v>
      </c>
      <c r="D786" t="s">
        <v>24</v>
      </c>
      <c r="E786" t="s">
        <v>25</v>
      </c>
      <c r="F786" t="s">
        <v>29</v>
      </c>
      <c r="G786">
        <v>2927.02</v>
      </c>
      <c r="H786">
        <v>3387.21</v>
      </c>
      <c r="I786">
        <v>10</v>
      </c>
      <c r="J786">
        <f t="shared" si="50"/>
        <v>33872.1</v>
      </c>
      <c r="K786">
        <f t="shared" si="51"/>
        <v>4601.9000000000005</v>
      </c>
      <c r="L786" t="s">
        <v>17</v>
      </c>
      <c r="M786" t="s">
        <v>18</v>
      </c>
      <c r="N786" t="s">
        <v>22</v>
      </c>
    </row>
    <row r="787" spans="1:14" x14ac:dyDescent="0.3">
      <c r="A787" s="1">
        <v>45219</v>
      </c>
      <c r="B787" s="1" t="str">
        <f t="shared" si="48"/>
        <v>Oct</v>
      </c>
      <c r="C787" s="1" t="str">
        <f t="shared" si="49"/>
        <v>2023</v>
      </c>
      <c r="D787" t="s">
        <v>24</v>
      </c>
      <c r="E787" t="s">
        <v>25</v>
      </c>
      <c r="F787" t="s">
        <v>29</v>
      </c>
      <c r="G787">
        <v>93.45</v>
      </c>
      <c r="H787">
        <v>181.62</v>
      </c>
      <c r="I787">
        <v>23</v>
      </c>
      <c r="J787">
        <f t="shared" si="50"/>
        <v>4177.26</v>
      </c>
      <c r="K787">
        <f t="shared" si="51"/>
        <v>2027.91</v>
      </c>
      <c r="L787" t="s">
        <v>17</v>
      </c>
      <c r="M787" t="s">
        <v>27</v>
      </c>
      <c r="N787" t="s">
        <v>22</v>
      </c>
    </row>
    <row r="788" spans="1:14" x14ac:dyDescent="0.3">
      <c r="A788" s="1">
        <v>45220</v>
      </c>
      <c r="B788" s="1" t="str">
        <f t="shared" si="48"/>
        <v>Oct</v>
      </c>
      <c r="C788" s="1" t="str">
        <f t="shared" si="49"/>
        <v>2023</v>
      </c>
      <c r="D788" t="s">
        <v>24</v>
      </c>
      <c r="E788" t="s">
        <v>34</v>
      </c>
      <c r="F788" t="s">
        <v>35</v>
      </c>
      <c r="G788">
        <v>1533.36</v>
      </c>
      <c r="H788">
        <v>1649.73999999999</v>
      </c>
      <c r="I788">
        <v>20</v>
      </c>
      <c r="J788">
        <f t="shared" si="50"/>
        <v>32994.799999999799</v>
      </c>
      <c r="K788">
        <f t="shared" si="51"/>
        <v>2327.5999999998021</v>
      </c>
      <c r="L788" t="s">
        <v>17</v>
      </c>
      <c r="M788" t="s">
        <v>27</v>
      </c>
      <c r="N788" t="s">
        <v>19</v>
      </c>
    </row>
    <row r="789" spans="1:14" x14ac:dyDescent="0.3">
      <c r="A789" s="1">
        <v>45220</v>
      </c>
      <c r="B789" s="1" t="str">
        <f t="shared" si="48"/>
        <v>Oct</v>
      </c>
      <c r="C789" s="1" t="str">
        <f t="shared" si="49"/>
        <v>2023</v>
      </c>
      <c r="D789" t="s">
        <v>42</v>
      </c>
      <c r="E789" t="s">
        <v>21</v>
      </c>
      <c r="F789" t="s">
        <v>16</v>
      </c>
      <c r="G789">
        <v>2558.09</v>
      </c>
      <c r="H789">
        <v>2958.55</v>
      </c>
      <c r="I789">
        <v>45</v>
      </c>
      <c r="J789">
        <f t="shared" si="50"/>
        <v>133134.75</v>
      </c>
      <c r="K789">
        <f t="shared" si="51"/>
        <v>18020.7</v>
      </c>
      <c r="L789" t="s">
        <v>30</v>
      </c>
      <c r="M789" t="s">
        <v>18</v>
      </c>
      <c r="N789" t="s">
        <v>19</v>
      </c>
    </row>
    <row r="790" spans="1:14" x14ac:dyDescent="0.3">
      <c r="A790" s="1">
        <v>45221</v>
      </c>
      <c r="B790" s="1" t="str">
        <f t="shared" si="48"/>
        <v>Oct</v>
      </c>
      <c r="C790" s="1" t="str">
        <f t="shared" si="49"/>
        <v>2023</v>
      </c>
      <c r="D790" t="s">
        <v>24</v>
      </c>
      <c r="E790" t="s">
        <v>15</v>
      </c>
      <c r="F790" t="s">
        <v>16</v>
      </c>
      <c r="G790">
        <v>2462.5500000000002</v>
      </c>
      <c r="H790">
        <v>2521.77</v>
      </c>
      <c r="I790">
        <v>34</v>
      </c>
      <c r="J790">
        <f t="shared" si="50"/>
        <v>85740.18</v>
      </c>
      <c r="K790">
        <f t="shared" si="51"/>
        <v>2013.4799999999932</v>
      </c>
      <c r="L790" t="s">
        <v>30</v>
      </c>
      <c r="M790" t="s">
        <v>27</v>
      </c>
      <c r="N790" t="s">
        <v>22</v>
      </c>
    </row>
    <row r="791" spans="1:14" x14ac:dyDescent="0.3">
      <c r="A791" s="1">
        <v>45221</v>
      </c>
      <c r="B791" s="1" t="str">
        <f t="shared" si="48"/>
        <v>Oct</v>
      </c>
      <c r="C791" s="1" t="str">
        <f t="shared" si="49"/>
        <v>2023</v>
      </c>
      <c r="D791" t="s">
        <v>38</v>
      </c>
      <c r="E791" t="s">
        <v>25</v>
      </c>
      <c r="F791" t="s">
        <v>29</v>
      </c>
      <c r="G791">
        <v>3233.37</v>
      </c>
      <c r="H791">
        <v>3723.21</v>
      </c>
      <c r="I791">
        <v>40</v>
      </c>
      <c r="J791">
        <f t="shared" si="50"/>
        <v>148928.4</v>
      </c>
      <c r="K791">
        <f t="shared" si="51"/>
        <v>19593.600000000006</v>
      </c>
      <c r="L791" t="s">
        <v>30</v>
      </c>
      <c r="M791" t="s">
        <v>27</v>
      </c>
      <c r="N791" t="s">
        <v>22</v>
      </c>
    </row>
    <row r="792" spans="1:14" x14ac:dyDescent="0.3">
      <c r="A792" s="1">
        <v>45221</v>
      </c>
      <c r="B792" s="1" t="str">
        <f t="shared" si="48"/>
        <v>Oct</v>
      </c>
      <c r="C792" s="1" t="str">
        <f t="shared" si="49"/>
        <v>2023</v>
      </c>
      <c r="D792" t="s">
        <v>14</v>
      </c>
      <c r="E792" t="s">
        <v>15</v>
      </c>
      <c r="F792" t="s">
        <v>16</v>
      </c>
      <c r="G792">
        <v>3648.04</v>
      </c>
      <c r="H792">
        <v>4143.51</v>
      </c>
      <c r="I792">
        <v>11</v>
      </c>
      <c r="J792">
        <f t="shared" si="50"/>
        <v>45578.61</v>
      </c>
      <c r="K792">
        <f t="shared" si="51"/>
        <v>5450.1700000000028</v>
      </c>
      <c r="L792" t="s">
        <v>17</v>
      </c>
      <c r="M792" t="s">
        <v>31</v>
      </c>
      <c r="N792" t="s">
        <v>22</v>
      </c>
    </row>
    <row r="793" spans="1:14" x14ac:dyDescent="0.3">
      <c r="A793" s="1">
        <v>45221</v>
      </c>
      <c r="B793" s="1" t="str">
        <f t="shared" si="48"/>
        <v>Oct</v>
      </c>
      <c r="C793" s="1" t="str">
        <f t="shared" si="49"/>
        <v>2023</v>
      </c>
      <c r="D793" t="s">
        <v>14</v>
      </c>
      <c r="E793" t="s">
        <v>21</v>
      </c>
      <c r="F793" t="s">
        <v>29</v>
      </c>
      <c r="G793">
        <v>906.47</v>
      </c>
      <c r="H793">
        <v>1283.04</v>
      </c>
      <c r="I793">
        <v>43</v>
      </c>
      <c r="J793">
        <f t="shared" si="50"/>
        <v>55170.720000000001</v>
      </c>
      <c r="K793">
        <f t="shared" si="51"/>
        <v>16192.509999999997</v>
      </c>
      <c r="L793" t="s">
        <v>30</v>
      </c>
      <c r="M793" t="s">
        <v>18</v>
      </c>
      <c r="N793" t="s">
        <v>19</v>
      </c>
    </row>
    <row r="794" spans="1:14" x14ac:dyDescent="0.3">
      <c r="A794" s="1">
        <v>45222</v>
      </c>
      <c r="B794" s="1" t="str">
        <f t="shared" si="48"/>
        <v>Oct</v>
      </c>
      <c r="C794" s="1" t="str">
        <f t="shared" si="49"/>
        <v>2023</v>
      </c>
      <c r="D794" t="s">
        <v>24</v>
      </c>
      <c r="E794" t="s">
        <v>25</v>
      </c>
      <c r="F794" t="s">
        <v>26</v>
      </c>
      <c r="G794">
        <v>309.77999999999997</v>
      </c>
      <c r="H794">
        <v>350.38</v>
      </c>
      <c r="I794">
        <v>42</v>
      </c>
      <c r="J794">
        <f t="shared" si="50"/>
        <v>14715.96</v>
      </c>
      <c r="K794">
        <f t="shared" si="51"/>
        <v>1705.200000000001</v>
      </c>
      <c r="L794" t="s">
        <v>17</v>
      </c>
      <c r="M794" t="s">
        <v>31</v>
      </c>
      <c r="N794" t="s">
        <v>22</v>
      </c>
    </row>
    <row r="795" spans="1:14" x14ac:dyDescent="0.3">
      <c r="A795" s="1">
        <v>45222</v>
      </c>
      <c r="B795" s="1" t="str">
        <f t="shared" si="48"/>
        <v>Oct</v>
      </c>
      <c r="C795" s="1" t="str">
        <f t="shared" si="49"/>
        <v>2023</v>
      </c>
      <c r="D795" t="s">
        <v>24</v>
      </c>
      <c r="E795" t="s">
        <v>34</v>
      </c>
      <c r="F795" t="s">
        <v>26</v>
      </c>
      <c r="G795">
        <v>4117.13</v>
      </c>
      <c r="H795">
        <v>4177.0600000000004</v>
      </c>
      <c r="I795">
        <v>8</v>
      </c>
      <c r="J795">
        <f t="shared" si="50"/>
        <v>33416.480000000003</v>
      </c>
      <c r="K795">
        <f t="shared" si="51"/>
        <v>479.44000000000233</v>
      </c>
      <c r="L795" t="s">
        <v>17</v>
      </c>
      <c r="M795" t="s">
        <v>27</v>
      </c>
      <c r="N795" t="s">
        <v>22</v>
      </c>
    </row>
    <row r="796" spans="1:14" x14ac:dyDescent="0.3">
      <c r="A796" s="1">
        <v>45222</v>
      </c>
      <c r="B796" s="1" t="str">
        <f t="shared" si="48"/>
        <v>Oct</v>
      </c>
      <c r="C796" s="1" t="str">
        <f t="shared" si="49"/>
        <v>2023</v>
      </c>
      <c r="D796" t="s">
        <v>24</v>
      </c>
      <c r="E796" t="s">
        <v>25</v>
      </c>
      <c r="F796" t="s">
        <v>35</v>
      </c>
      <c r="G796">
        <v>4325.0200000000004</v>
      </c>
      <c r="H796">
        <v>4391.67</v>
      </c>
      <c r="I796">
        <v>48</v>
      </c>
      <c r="J796">
        <f t="shared" si="50"/>
        <v>210800.16</v>
      </c>
      <c r="K796">
        <f t="shared" si="51"/>
        <v>3199.1999999999825</v>
      </c>
      <c r="L796" t="s">
        <v>17</v>
      </c>
      <c r="M796" t="s">
        <v>31</v>
      </c>
      <c r="N796" t="s">
        <v>22</v>
      </c>
    </row>
    <row r="797" spans="1:14" x14ac:dyDescent="0.3">
      <c r="A797" s="1">
        <v>45222</v>
      </c>
      <c r="B797" s="1" t="str">
        <f t="shared" si="48"/>
        <v>Oct</v>
      </c>
      <c r="C797" s="1" t="str">
        <f t="shared" si="49"/>
        <v>2023</v>
      </c>
      <c r="D797" t="s">
        <v>14</v>
      </c>
      <c r="E797" t="s">
        <v>21</v>
      </c>
      <c r="F797" t="s">
        <v>29</v>
      </c>
      <c r="G797">
        <v>1747.05</v>
      </c>
      <c r="H797">
        <v>1830.27</v>
      </c>
      <c r="I797">
        <v>46</v>
      </c>
      <c r="J797">
        <f t="shared" si="50"/>
        <v>84192.42</v>
      </c>
      <c r="K797">
        <f t="shared" si="51"/>
        <v>3828.1200000000013</v>
      </c>
      <c r="L797" t="s">
        <v>30</v>
      </c>
      <c r="M797" t="s">
        <v>27</v>
      </c>
      <c r="N797" t="s">
        <v>22</v>
      </c>
    </row>
    <row r="798" spans="1:14" x14ac:dyDescent="0.3">
      <c r="A798" s="1">
        <v>45222</v>
      </c>
      <c r="B798" s="1" t="str">
        <f t="shared" si="48"/>
        <v>Oct</v>
      </c>
      <c r="C798" s="1" t="str">
        <f t="shared" si="49"/>
        <v>2023</v>
      </c>
      <c r="D798" t="s">
        <v>33</v>
      </c>
      <c r="E798" t="s">
        <v>25</v>
      </c>
      <c r="F798" t="s">
        <v>29</v>
      </c>
      <c r="G798">
        <v>4369.5</v>
      </c>
      <c r="H798">
        <v>4381.8900000000003</v>
      </c>
      <c r="I798">
        <v>45</v>
      </c>
      <c r="J798">
        <f t="shared" si="50"/>
        <v>197185.05000000002</v>
      </c>
      <c r="K798">
        <f t="shared" si="51"/>
        <v>557.55000000001473</v>
      </c>
      <c r="L798" t="s">
        <v>17</v>
      </c>
      <c r="M798" t="s">
        <v>31</v>
      </c>
      <c r="N798" t="s">
        <v>22</v>
      </c>
    </row>
    <row r="799" spans="1:14" x14ac:dyDescent="0.3">
      <c r="A799" s="1">
        <v>45223</v>
      </c>
      <c r="B799" s="1" t="str">
        <f t="shared" si="48"/>
        <v>Oct</v>
      </c>
      <c r="C799" s="1" t="str">
        <f t="shared" si="49"/>
        <v>2023</v>
      </c>
      <c r="D799" t="s">
        <v>24</v>
      </c>
      <c r="E799" t="s">
        <v>34</v>
      </c>
      <c r="F799" t="s">
        <v>26</v>
      </c>
      <c r="G799">
        <v>1741.66</v>
      </c>
      <c r="H799">
        <v>2169.86</v>
      </c>
      <c r="I799">
        <v>45</v>
      </c>
      <c r="J799">
        <f t="shared" si="50"/>
        <v>97643.700000000012</v>
      </c>
      <c r="K799">
        <f t="shared" si="51"/>
        <v>19269.000000000004</v>
      </c>
      <c r="L799" t="s">
        <v>17</v>
      </c>
      <c r="M799" t="s">
        <v>31</v>
      </c>
      <c r="N799" t="s">
        <v>19</v>
      </c>
    </row>
    <row r="800" spans="1:14" x14ac:dyDescent="0.3">
      <c r="A800" s="1">
        <v>45223</v>
      </c>
      <c r="B800" s="1" t="str">
        <f t="shared" si="48"/>
        <v>Oct</v>
      </c>
      <c r="C800" s="1" t="str">
        <f t="shared" si="49"/>
        <v>2023</v>
      </c>
      <c r="D800" t="s">
        <v>14</v>
      </c>
      <c r="E800" t="s">
        <v>34</v>
      </c>
      <c r="F800" t="s">
        <v>29</v>
      </c>
      <c r="G800">
        <v>551.83000000000004</v>
      </c>
      <c r="H800">
        <v>569.63</v>
      </c>
      <c r="I800">
        <v>28</v>
      </c>
      <c r="J800">
        <f t="shared" si="50"/>
        <v>15949.64</v>
      </c>
      <c r="K800">
        <f t="shared" si="51"/>
        <v>498.39999999999873</v>
      </c>
      <c r="L800" t="s">
        <v>30</v>
      </c>
      <c r="M800" t="s">
        <v>31</v>
      </c>
      <c r="N800" t="s">
        <v>22</v>
      </c>
    </row>
    <row r="801" spans="1:14" x14ac:dyDescent="0.3">
      <c r="A801" s="1">
        <v>45225</v>
      </c>
      <c r="B801" s="1" t="str">
        <f t="shared" si="48"/>
        <v>Oct</v>
      </c>
      <c r="C801" s="1" t="str">
        <f t="shared" si="49"/>
        <v>2023</v>
      </c>
      <c r="D801" t="s">
        <v>42</v>
      </c>
      <c r="E801" t="s">
        <v>34</v>
      </c>
      <c r="F801" t="s">
        <v>35</v>
      </c>
      <c r="G801">
        <v>4686.79</v>
      </c>
      <c r="H801">
        <v>5046.51</v>
      </c>
      <c r="I801">
        <v>27</v>
      </c>
      <c r="J801">
        <f t="shared" si="50"/>
        <v>136255.77000000002</v>
      </c>
      <c r="K801">
        <f t="shared" si="51"/>
        <v>9712.440000000006</v>
      </c>
      <c r="L801" t="s">
        <v>17</v>
      </c>
      <c r="M801" t="s">
        <v>31</v>
      </c>
      <c r="N801" t="s">
        <v>22</v>
      </c>
    </row>
    <row r="802" spans="1:14" x14ac:dyDescent="0.3">
      <c r="A802" s="1">
        <v>45226</v>
      </c>
      <c r="B802" s="1" t="str">
        <f t="shared" si="48"/>
        <v>Oct</v>
      </c>
      <c r="C802" s="1" t="str">
        <f t="shared" si="49"/>
        <v>2023</v>
      </c>
      <c r="D802" t="s">
        <v>38</v>
      </c>
      <c r="E802" t="s">
        <v>15</v>
      </c>
      <c r="F802" t="s">
        <v>26</v>
      </c>
      <c r="G802">
        <v>3139.36</v>
      </c>
      <c r="H802">
        <v>3423.66</v>
      </c>
      <c r="I802">
        <v>27</v>
      </c>
      <c r="J802">
        <f t="shared" si="50"/>
        <v>92438.819999999992</v>
      </c>
      <c r="K802">
        <f t="shared" si="51"/>
        <v>7676.0999999999931</v>
      </c>
      <c r="L802" t="s">
        <v>30</v>
      </c>
      <c r="M802" t="s">
        <v>31</v>
      </c>
      <c r="N802" t="s">
        <v>19</v>
      </c>
    </row>
    <row r="803" spans="1:14" x14ac:dyDescent="0.3">
      <c r="A803" s="1">
        <v>45226</v>
      </c>
      <c r="B803" s="1" t="str">
        <f t="shared" si="48"/>
        <v>Oct</v>
      </c>
      <c r="C803" s="1" t="str">
        <f t="shared" si="49"/>
        <v>2023</v>
      </c>
      <c r="D803" t="s">
        <v>24</v>
      </c>
      <c r="E803" t="s">
        <v>15</v>
      </c>
      <c r="F803" t="s">
        <v>16</v>
      </c>
      <c r="G803">
        <v>3851.45</v>
      </c>
      <c r="H803">
        <v>4186.9799999999996</v>
      </c>
      <c r="I803">
        <v>43</v>
      </c>
      <c r="J803">
        <f t="shared" si="50"/>
        <v>180040.13999999998</v>
      </c>
      <c r="K803">
        <f t="shared" si="51"/>
        <v>14427.78999999999</v>
      </c>
      <c r="L803" t="s">
        <v>17</v>
      </c>
      <c r="M803" t="s">
        <v>31</v>
      </c>
      <c r="N803" t="s">
        <v>19</v>
      </c>
    </row>
    <row r="804" spans="1:14" x14ac:dyDescent="0.3">
      <c r="A804" s="1">
        <v>45227</v>
      </c>
      <c r="B804" s="1" t="str">
        <f t="shared" si="48"/>
        <v>Oct</v>
      </c>
      <c r="C804" s="1" t="str">
        <f t="shared" si="49"/>
        <v>2023</v>
      </c>
      <c r="D804" t="s">
        <v>24</v>
      </c>
      <c r="E804" t="s">
        <v>15</v>
      </c>
      <c r="F804" t="s">
        <v>29</v>
      </c>
      <c r="G804">
        <v>4781.42</v>
      </c>
      <c r="H804">
        <v>4864.34</v>
      </c>
      <c r="I804">
        <v>43</v>
      </c>
      <c r="J804">
        <f t="shared" si="50"/>
        <v>209166.62</v>
      </c>
      <c r="K804">
        <f t="shared" si="51"/>
        <v>3565.5600000000031</v>
      </c>
      <c r="L804" t="s">
        <v>17</v>
      </c>
      <c r="M804" t="s">
        <v>27</v>
      </c>
      <c r="N804" t="s">
        <v>19</v>
      </c>
    </row>
    <row r="805" spans="1:14" x14ac:dyDescent="0.3">
      <c r="A805" s="1">
        <v>45227</v>
      </c>
      <c r="B805" s="1" t="str">
        <f t="shared" si="48"/>
        <v>Oct</v>
      </c>
      <c r="C805" s="1" t="str">
        <f t="shared" si="49"/>
        <v>2023</v>
      </c>
      <c r="D805" t="s">
        <v>14</v>
      </c>
      <c r="E805" t="s">
        <v>21</v>
      </c>
      <c r="F805" t="s">
        <v>16</v>
      </c>
      <c r="G805">
        <v>1127.76</v>
      </c>
      <c r="H805">
        <v>1265.6600000000001</v>
      </c>
      <c r="I805">
        <v>38</v>
      </c>
      <c r="J805">
        <f t="shared" si="50"/>
        <v>48095.08</v>
      </c>
      <c r="K805">
        <f t="shared" si="51"/>
        <v>5240.2000000000035</v>
      </c>
      <c r="L805" t="s">
        <v>17</v>
      </c>
      <c r="M805" t="s">
        <v>27</v>
      </c>
      <c r="N805" t="s">
        <v>22</v>
      </c>
    </row>
    <row r="806" spans="1:14" x14ac:dyDescent="0.3">
      <c r="A806" s="1">
        <v>45227</v>
      </c>
      <c r="B806" s="1" t="str">
        <f t="shared" si="48"/>
        <v>Oct</v>
      </c>
      <c r="C806" s="1" t="str">
        <f t="shared" si="49"/>
        <v>2023</v>
      </c>
      <c r="D806" t="s">
        <v>33</v>
      </c>
      <c r="E806" t="s">
        <v>15</v>
      </c>
      <c r="F806" t="s">
        <v>26</v>
      </c>
      <c r="G806">
        <v>1411.37</v>
      </c>
      <c r="H806">
        <v>1675.35</v>
      </c>
      <c r="I806">
        <v>23</v>
      </c>
      <c r="J806">
        <f t="shared" si="50"/>
        <v>38533.049999999996</v>
      </c>
      <c r="K806">
        <f t="shared" si="51"/>
        <v>6071.5400000000009</v>
      </c>
      <c r="L806" t="s">
        <v>30</v>
      </c>
      <c r="M806" t="s">
        <v>18</v>
      </c>
      <c r="N806" t="s">
        <v>22</v>
      </c>
    </row>
    <row r="807" spans="1:14" x14ac:dyDescent="0.3">
      <c r="A807" s="1">
        <v>45227</v>
      </c>
      <c r="B807" s="1" t="str">
        <f t="shared" si="48"/>
        <v>Oct</v>
      </c>
      <c r="C807" s="1" t="str">
        <f t="shared" si="49"/>
        <v>2023</v>
      </c>
      <c r="D807" t="s">
        <v>14</v>
      </c>
      <c r="E807" t="s">
        <v>21</v>
      </c>
      <c r="F807" t="s">
        <v>16</v>
      </c>
      <c r="G807">
        <v>2184.4899999999998</v>
      </c>
      <c r="H807">
        <v>2540.4199999999901</v>
      </c>
      <c r="I807">
        <v>39</v>
      </c>
      <c r="J807">
        <f t="shared" si="50"/>
        <v>99076.379999999612</v>
      </c>
      <c r="K807">
        <f t="shared" si="51"/>
        <v>13881.269999999622</v>
      </c>
      <c r="L807" t="s">
        <v>17</v>
      </c>
      <c r="M807" t="s">
        <v>27</v>
      </c>
      <c r="N807" t="s">
        <v>19</v>
      </c>
    </row>
    <row r="808" spans="1:14" x14ac:dyDescent="0.3">
      <c r="A808" s="1">
        <v>45228</v>
      </c>
      <c r="B808" s="1" t="str">
        <f t="shared" si="48"/>
        <v>Oct</v>
      </c>
      <c r="C808" s="1" t="str">
        <f t="shared" si="49"/>
        <v>2023</v>
      </c>
      <c r="D808" t="s">
        <v>38</v>
      </c>
      <c r="E808" t="s">
        <v>34</v>
      </c>
      <c r="F808" t="s">
        <v>16</v>
      </c>
      <c r="G808">
        <v>641.67999999999995</v>
      </c>
      <c r="H808">
        <v>752.24</v>
      </c>
      <c r="I808">
        <v>1</v>
      </c>
      <c r="J808">
        <f t="shared" si="50"/>
        <v>752.24</v>
      </c>
      <c r="K808">
        <f t="shared" si="51"/>
        <v>110.56000000000006</v>
      </c>
      <c r="L808" t="s">
        <v>30</v>
      </c>
      <c r="M808" t="s">
        <v>27</v>
      </c>
      <c r="N808" t="s">
        <v>19</v>
      </c>
    </row>
    <row r="809" spans="1:14" x14ac:dyDescent="0.3">
      <c r="A809" s="1">
        <v>45228</v>
      </c>
      <c r="B809" s="1" t="str">
        <f t="shared" si="48"/>
        <v>Oct</v>
      </c>
      <c r="C809" s="1" t="str">
        <f t="shared" si="49"/>
        <v>2023</v>
      </c>
      <c r="D809" t="s">
        <v>24</v>
      </c>
      <c r="E809" t="s">
        <v>21</v>
      </c>
      <c r="F809" t="s">
        <v>26</v>
      </c>
      <c r="G809">
        <v>333.69</v>
      </c>
      <c r="H809">
        <v>685.1</v>
      </c>
      <c r="I809">
        <v>31</v>
      </c>
      <c r="J809">
        <f t="shared" si="50"/>
        <v>21238.100000000002</v>
      </c>
      <c r="K809">
        <f t="shared" si="51"/>
        <v>10893.710000000001</v>
      </c>
      <c r="L809" t="s">
        <v>30</v>
      </c>
      <c r="M809" t="s">
        <v>27</v>
      </c>
      <c r="N809" t="s">
        <v>19</v>
      </c>
    </row>
    <row r="810" spans="1:14" x14ac:dyDescent="0.3">
      <c r="A810" s="1">
        <v>45228</v>
      </c>
      <c r="B810" s="1" t="str">
        <f t="shared" si="48"/>
        <v>Oct</v>
      </c>
      <c r="C810" s="1" t="str">
        <f t="shared" si="49"/>
        <v>2023</v>
      </c>
      <c r="D810" t="s">
        <v>24</v>
      </c>
      <c r="E810" t="s">
        <v>15</v>
      </c>
      <c r="F810" t="s">
        <v>26</v>
      </c>
      <c r="G810">
        <v>978.15</v>
      </c>
      <c r="H810">
        <v>1040.21</v>
      </c>
      <c r="I810">
        <v>34</v>
      </c>
      <c r="J810">
        <f t="shared" si="50"/>
        <v>35367.14</v>
      </c>
      <c r="K810">
        <f t="shared" si="51"/>
        <v>2110.0400000000018</v>
      </c>
      <c r="L810" t="s">
        <v>30</v>
      </c>
      <c r="M810" t="s">
        <v>31</v>
      </c>
      <c r="N810" t="s">
        <v>22</v>
      </c>
    </row>
    <row r="811" spans="1:14" x14ac:dyDescent="0.3">
      <c r="A811" s="1">
        <v>45228</v>
      </c>
      <c r="B811" s="1" t="str">
        <f t="shared" si="48"/>
        <v>Oct</v>
      </c>
      <c r="C811" s="1" t="str">
        <f t="shared" si="49"/>
        <v>2023</v>
      </c>
      <c r="D811" t="s">
        <v>33</v>
      </c>
      <c r="E811" t="s">
        <v>15</v>
      </c>
      <c r="F811" t="s">
        <v>29</v>
      </c>
      <c r="G811">
        <v>1812.66</v>
      </c>
      <c r="H811">
        <v>2196.3000000000002</v>
      </c>
      <c r="I811">
        <v>11</v>
      </c>
      <c r="J811">
        <f t="shared" si="50"/>
        <v>24159.300000000003</v>
      </c>
      <c r="K811">
        <f t="shared" si="51"/>
        <v>4220.0400000000009</v>
      </c>
      <c r="L811" t="s">
        <v>30</v>
      </c>
      <c r="M811" t="s">
        <v>18</v>
      </c>
      <c r="N811" t="s">
        <v>19</v>
      </c>
    </row>
    <row r="812" spans="1:14" x14ac:dyDescent="0.3">
      <c r="A812" s="1">
        <v>45228</v>
      </c>
      <c r="B812" s="1" t="str">
        <f t="shared" si="48"/>
        <v>Oct</v>
      </c>
      <c r="C812" s="1" t="str">
        <f t="shared" si="49"/>
        <v>2023</v>
      </c>
      <c r="D812" t="s">
        <v>24</v>
      </c>
      <c r="E812" t="s">
        <v>21</v>
      </c>
      <c r="F812" t="s">
        <v>29</v>
      </c>
      <c r="G812">
        <v>3610.21</v>
      </c>
      <c r="H812">
        <v>3817.99</v>
      </c>
      <c r="I812">
        <v>8</v>
      </c>
      <c r="J812">
        <f t="shared" si="50"/>
        <v>30543.919999999998</v>
      </c>
      <c r="K812">
        <f t="shared" si="51"/>
        <v>1662.239999999998</v>
      </c>
      <c r="L812" t="s">
        <v>17</v>
      </c>
      <c r="M812" t="s">
        <v>18</v>
      </c>
      <c r="N812" t="s">
        <v>22</v>
      </c>
    </row>
    <row r="813" spans="1:14" x14ac:dyDescent="0.3">
      <c r="A813" s="1">
        <v>45229</v>
      </c>
      <c r="B813" s="1" t="str">
        <f t="shared" si="48"/>
        <v>Oct</v>
      </c>
      <c r="C813" s="1" t="str">
        <f t="shared" si="49"/>
        <v>2023</v>
      </c>
      <c r="D813" t="s">
        <v>38</v>
      </c>
      <c r="E813" t="s">
        <v>34</v>
      </c>
      <c r="F813" t="s">
        <v>35</v>
      </c>
      <c r="G813">
        <v>2572.8000000000002</v>
      </c>
      <c r="H813">
        <v>2760.6</v>
      </c>
      <c r="I813">
        <v>16</v>
      </c>
      <c r="J813">
        <f t="shared" si="50"/>
        <v>44169.599999999999</v>
      </c>
      <c r="K813">
        <f t="shared" si="51"/>
        <v>3004.7999999999956</v>
      </c>
      <c r="L813" t="s">
        <v>17</v>
      </c>
      <c r="M813" t="s">
        <v>31</v>
      </c>
      <c r="N813" t="s">
        <v>22</v>
      </c>
    </row>
    <row r="814" spans="1:14" x14ac:dyDescent="0.3">
      <c r="A814" s="1">
        <v>45229</v>
      </c>
      <c r="B814" s="1" t="str">
        <f t="shared" si="48"/>
        <v>Oct</v>
      </c>
      <c r="C814" s="1" t="str">
        <f t="shared" si="49"/>
        <v>2023</v>
      </c>
      <c r="D814" t="s">
        <v>42</v>
      </c>
      <c r="E814" t="s">
        <v>34</v>
      </c>
      <c r="F814" t="s">
        <v>26</v>
      </c>
      <c r="G814">
        <v>4243.9799999999996</v>
      </c>
      <c r="H814">
        <v>4474.5099999999902</v>
      </c>
      <c r="I814">
        <v>38</v>
      </c>
      <c r="J814">
        <f t="shared" si="50"/>
        <v>170031.37999999963</v>
      </c>
      <c r="K814">
        <f t="shared" si="51"/>
        <v>8760.1399999996447</v>
      </c>
      <c r="L814" t="s">
        <v>30</v>
      </c>
      <c r="M814" t="s">
        <v>31</v>
      </c>
      <c r="N814" t="s">
        <v>19</v>
      </c>
    </row>
    <row r="815" spans="1:14" x14ac:dyDescent="0.3">
      <c r="A815" s="1">
        <v>45229</v>
      </c>
      <c r="B815" s="1" t="str">
        <f t="shared" si="48"/>
        <v>Oct</v>
      </c>
      <c r="C815" s="1" t="str">
        <f t="shared" si="49"/>
        <v>2023</v>
      </c>
      <c r="D815" t="s">
        <v>24</v>
      </c>
      <c r="E815" t="s">
        <v>15</v>
      </c>
      <c r="F815" t="s">
        <v>26</v>
      </c>
      <c r="G815">
        <v>2258.44</v>
      </c>
      <c r="H815">
        <v>2475.56</v>
      </c>
      <c r="I815">
        <v>1</v>
      </c>
      <c r="J815">
        <f t="shared" si="50"/>
        <v>2475.56</v>
      </c>
      <c r="K815">
        <f t="shared" si="51"/>
        <v>217.11999999999989</v>
      </c>
      <c r="L815" t="s">
        <v>30</v>
      </c>
      <c r="M815" t="s">
        <v>18</v>
      </c>
      <c r="N815" t="s">
        <v>19</v>
      </c>
    </row>
    <row r="816" spans="1:14" x14ac:dyDescent="0.3">
      <c r="A816" s="1">
        <v>45229</v>
      </c>
      <c r="B816" s="1" t="str">
        <f t="shared" si="48"/>
        <v>Oct</v>
      </c>
      <c r="C816" s="1" t="str">
        <f t="shared" si="49"/>
        <v>2023</v>
      </c>
      <c r="D816" t="s">
        <v>42</v>
      </c>
      <c r="E816" t="s">
        <v>21</v>
      </c>
      <c r="F816" t="s">
        <v>35</v>
      </c>
      <c r="G816">
        <v>2701.39</v>
      </c>
      <c r="H816">
        <v>3185.81</v>
      </c>
      <c r="I816">
        <v>22</v>
      </c>
      <c r="J816">
        <f t="shared" si="50"/>
        <v>70087.819999999992</v>
      </c>
      <c r="K816">
        <f t="shared" si="51"/>
        <v>10657.240000000002</v>
      </c>
      <c r="L816" t="s">
        <v>30</v>
      </c>
      <c r="M816" t="s">
        <v>27</v>
      </c>
      <c r="N816" t="s">
        <v>19</v>
      </c>
    </row>
    <row r="817" spans="1:14" x14ac:dyDescent="0.3">
      <c r="A817" s="1">
        <v>45229</v>
      </c>
      <c r="B817" s="1" t="str">
        <f t="shared" si="48"/>
        <v>Oct</v>
      </c>
      <c r="C817" s="1" t="str">
        <f t="shared" si="49"/>
        <v>2023</v>
      </c>
      <c r="D817" t="s">
        <v>38</v>
      </c>
      <c r="E817" t="s">
        <v>21</v>
      </c>
      <c r="F817" t="s">
        <v>35</v>
      </c>
      <c r="G817">
        <v>4264.46</v>
      </c>
      <c r="H817">
        <v>4315.5200000000004</v>
      </c>
      <c r="I817">
        <v>49</v>
      </c>
      <c r="J817">
        <f t="shared" si="50"/>
        <v>211460.48000000001</v>
      </c>
      <c r="K817">
        <f t="shared" si="51"/>
        <v>2501.9400000000196</v>
      </c>
      <c r="L817" t="s">
        <v>30</v>
      </c>
      <c r="M817" t="s">
        <v>18</v>
      </c>
      <c r="N817" t="s">
        <v>22</v>
      </c>
    </row>
    <row r="818" spans="1:14" x14ac:dyDescent="0.3">
      <c r="A818" s="1">
        <v>45230</v>
      </c>
      <c r="B818" s="1" t="str">
        <f t="shared" si="48"/>
        <v>Oct</v>
      </c>
      <c r="C818" s="1" t="str">
        <f t="shared" si="49"/>
        <v>2023</v>
      </c>
      <c r="D818" t="s">
        <v>38</v>
      </c>
      <c r="E818" t="s">
        <v>34</v>
      </c>
      <c r="F818" t="s">
        <v>16</v>
      </c>
      <c r="G818">
        <v>3124.48</v>
      </c>
      <c r="H818">
        <v>3553.27</v>
      </c>
      <c r="I818">
        <v>18</v>
      </c>
      <c r="J818">
        <f t="shared" si="50"/>
        <v>63958.86</v>
      </c>
      <c r="K818">
        <f t="shared" si="51"/>
        <v>7718.2199999999993</v>
      </c>
      <c r="L818" t="s">
        <v>17</v>
      </c>
      <c r="M818" t="s">
        <v>18</v>
      </c>
      <c r="N818" t="s">
        <v>22</v>
      </c>
    </row>
    <row r="819" spans="1:14" x14ac:dyDescent="0.3">
      <c r="A819" s="1">
        <v>45231</v>
      </c>
      <c r="B819" s="1" t="str">
        <f t="shared" si="48"/>
        <v>Nov</v>
      </c>
      <c r="C819" s="1" t="str">
        <f t="shared" si="49"/>
        <v>2023</v>
      </c>
      <c r="D819" t="s">
        <v>14</v>
      </c>
      <c r="E819" t="s">
        <v>25</v>
      </c>
      <c r="F819" t="s">
        <v>26</v>
      </c>
      <c r="G819">
        <v>547.79</v>
      </c>
      <c r="H819">
        <v>958.76</v>
      </c>
      <c r="I819">
        <v>14</v>
      </c>
      <c r="J819">
        <f t="shared" si="50"/>
        <v>13422.64</v>
      </c>
      <c r="K819">
        <f t="shared" si="51"/>
        <v>5753.58</v>
      </c>
      <c r="L819" t="s">
        <v>17</v>
      </c>
      <c r="M819" t="s">
        <v>31</v>
      </c>
      <c r="N819" t="s">
        <v>22</v>
      </c>
    </row>
    <row r="820" spans="1:14" x14ac:dyDescent="0.3">
      <c r="A820" s="1">
        <v>45231</v>
      </c>
      <c r="B820" s="1" t="str">
        <f t="shared" si="48"/>
        <v>Nov</v>
      </c>
      <c r="C820" s="1" t="str">
        <f t="shared" si="49"/>
        <v>2023</v>
      </c>
      <c r="D820" t="s">
        <v>42</v>
      </c>
      <c r="E820" t="s">
        <v>25</v>
      </c>
      <c r="F820" t="s">
        <v>29</v>
      </c>
      <c r="G820">
        <v>3067.05</v>
      </c>
      <c r="H820">
        <v>3386.33</v>
      </c>
      <c r="I820">
        <v>36</v>
      </c>
      <c r="J820">
        <f t="shared" si="50"/>
        <v>121907.88</v>
      </c>
      <c r="K820">
        <f t="shared" si="51"/>
        <v>11494.079999999991</v>
      </c>
      <c r="L820" t="s">
        <v>30</v>
      </c>
      <c r="M820" t="s">
        <v>27</v>
      </c>
      <c r="N820" t="s">
        <v>19</v>
      </c>
    </row>
    <row r="821" spans="1:14" x14ac:dyDescent="0.3">
      <c r="A821" s="1">
        <v>45231</v>
      </c>
      <c r="B821" s="1" t="str">
        <f t="shared" si="48"/>
        <v>Nov</v>
      </c>
      <c r="C821" s="1" t="str">
        <f t="shared" si="49"/>
        <v>2023</v>
      </c>
      <c r="D821" t="s">
        <v>14</v>
      </c>
      <c r="E821" t="s">
        <v>34</v>
      </c>
      <c r="F821" t="s">
        <v>26</v>
      </c>
      <c r="G821">
        <v>911.11</v>
      </c>
      <c r="H821">
        <v>1214.56</v>
      </c>
      <c r="I821">
        <v>24</v>
      </c>
      <c r="J821">
        <f t="shared" si="50"/>
        <v>29149.439999999999</v>
      </c>
      <c r="K821">
        <f t="shared" si="51"/>
        <v>7282.7999999999984</v>
      </c>
      <c r="L821" t="s">
        <v>30</v>
      </c>
      <c r="M821" t="s">
        <v>27</v>
      </c>
      <c r="N821" t="s">
        <v>19</v>
      </c>
    </row>
    <row r="822" spans="1:14" x14ac:dyDescent="0.3">
      <c r="A822" s="1">
        <v>45231</v>
      </c>
      <c r="B822" s="1" t="str">
        <f t="shared" si="48"/>
        <v>Nov</v>
      </c>
      <c r="C822" s="1" t="str">
        <f t="shared" si="49"/>
        <v>2023</v>
      </c>
      <c r="D822" t="s">
        <v>14</v>
      </c>
      <c r="E822" t="s">
        <v>34</v>
      </c>
      <c r="F822" t="s">
        <v>26</v>
      </c>
      <c r="G822">
        <v>1050.6400000000001</v>
      </c>
      <c r="H822">
        <v>1167.33</v>
      </c>
      <c r="I822">
        <v>36</v>
      </c>
      <c r="J822">
        <f t="shared" si="50"/>
        <v>42023.88</v>
      </c>
      <c r="K822">
        <f t="shared" si="51"/>
        <v>4200.8399999999938</v>
      </c>
      <c r="L822" t="s">
        <v>30</v>
      </c>
      <c r="M822" t="s">
        <v>18</v>
      </c>
      <c r="N822" t="s">
        <v>19</v>
      </c>
    </row>
    <row r="823" spans="1:14" x14ac:dyDescent="0.3">
      <c r="A823" s="1">
        <v>45231</v>
      </c>
      <c r="B823" s="1" t="str">
        <f t="shared" si="48"/>
        <v>Nov</v>
      </c>
      <c r="C823" s="1" t="str">
        <f t="shared" si="49"/>
        <v>2023</v>
      </c>
      <c r="D823" t="s">
        <v>33</v>
      </c>
      <c r="E823" t="s">
        <v>15</v>
      </c>
      <c r="F823" t="s">
        <v>29</v>
      </c>
      <c r="G823">
        <v>401.64</v>
      </c>
      <c r="H823">
        <v>757.26</v>
      </c>
      <c r="I823">
        <v>46</v>
      </c>
      <c r="J823">
        <f t="shared" si="50"/>
        <v>34833.96</v>
      </c>
      <c r="K823">
        <f t="shared" si="51"/>
        <v>16358.52</v>
      </c>
      <c r="L823" t="s">
        <v>30</v>
      </c>
      <c r="M823" t="s">
        <v>31</v>
      </c>
      <c r="N823" t="s">
        <v>22</v>
      </c>
    </row>
    <row r="824" spans="1:14" x14ac:dyDescent="0.3">
      <c r="A824" s="1">
        <v>45231</v>
      </c>
      <c r="B824" s="1" t="str">
        <f t="shared" si="48"/>
        <v>Nov</v>
      </c>
      <c r="C824" s="1" t="str">
        <f t="shared" si="49"/>
        <v>2023</v>
      </c>
      <c r="D824" t="s">
        <v>14</v>
      </c>
      <c r="E824" t="s">
        <v>25</v>
      </c>
      <c r="F824" t="s">
        <v>26</v>
      </c>
      <c r="G824">
        <v>2774.24</v>
      </c>
      <c r="H824">
        <v>3069.9399999999901</v>
      </c>
      <c r="I824">
        <v>17</v>
      </c>
      <c r="J824">
        <f t="shared" si="50"/>
        <v>52188.979999999829</v>
      </c>
      <c r="K824">
        <f t="shared" si="51"/>
        <v>5026.8999999998341</v>
      </c>
      <c r="L824" t="s">
        <v>17</v>
      </c>
      <c r="M824" t="s">
        <v>27</v>
      </c>
      <c r="N824" t="s">
        <v>22</v>
      </c>
    </row>
    <row r="825" spans="1:14" x14ac:dyDescent="0.3">
      <c r="A825" s="1">
        <v>45232</v>
      </c>
      <c r="B825" s="1" t="str">
        <f t="shared" si="48"/>
        <v>Nov</v>
      </c>
      <c r="C825" s="1" t="str">
        <f t="shared" si="49"/>
        <v>2023</v>
      </c>
      <c r="D825" t="s">
        <v>33</v>
      </c>
      <c r="E825" t="s">
        <v>15</v>
      </c>
      <c r="F825" t="s">
        <v>16</v>
      </c>
      <c r="G825">
        <v>530.24</v>
      </c>
      <c r="H825">
        <v>987.41</v>
      </c>
      <c r="I825">
        <v>23</v>
      </c>
      <c r="J825">
        <f t="shared" si="50"/>
        <v>22710.43</v>
      </c>
      <c r="K825">
        <f t="shared" si="51"/>
        <v>10514.91</v>
      </c>
      <c r="L825" t="s">
        <v>17</v>
      </c>
      <c r="M825" t="s">
        <v>31</v>
      </c>
      <c r="N825" t="s">
        <v>19</v>
      </c>
    </row>
    <row r="826" spans="1:14" x14ac:dyDescent="0.3">
      <c r="A826" s="1">
        <v>45233</v>
      </c>
      <c r="B826" s="1" t="str">
        <f t="shared" si="48"/>
        <v>Nov</v>
      </c>
      <c r="C826" s="1" t="str">
        <f t="shared" si="49"/>
        <v>2023</v>
      </c>
      <c r="D826" t="s">
        <v>42</v>
      </c>
      <c r="E826" t="s">
        <v>15</v>
      </c>
      <c r="F826" t="s">
        <v>29</v>
      </c>
      <c r="G826">
        <v>1234.69</v>
      </c>
      <c r="H826">
        <v>1511.26</v>
      </c>
      <c r="I826">
        <v>38</v>
      </c>
      <c r="J826">
        <f t="shared" si="50"/>
        <v>57427.88</v>
      </c>
      <c r="K826">
        <f t="shared" si="51"/>
        <v>10509.659999999998</v>
      </c>
      <c r="L826" t="s">
        <v>30</v>
      </c>
      <c r="M826" t="s">
        <v>27</v>
      </c>
      <c r="N826" t="s">
        <v>19</v>
      </c>
    </row>
    <row r="827" spans="1:14" x14ac:dyDescent="0.3">
      <c r="A827" s="1">
        <v>45233</v>
      </c>
      <c r="B827" s="1" t="str">
        <f t="shared" si="48"/>
        <v>Nov</v>
      </c>
      <c r="C827" s="1" t="str">
        <f t="shared" si="49"/>
        <v>2023</v>
      </c>
      <c r="D827" t="s">
        <v>24</v>
      </c>
      <c r="E827" t="s">
        <v>21</v>
      </c>
      <c r="F827" t="s">
        <v>29</v>
      </c>
      <c r="G827">
        <v>3600.95</v>
      </c>
      <c r="H827">
        <v>3702.8399999999901</v>
      </c>
      <c r="I827">
        <v>42</v>
      </c>
      <c r="J827">
        <f t="shared" si="50"/>
        <v>155519.27999999959</v>
      </c>
      <c r="K827">
        <f t="shared" si="51"/>
        <v>4279.3799999995936</v>
      </c>
      <c r="L827" t="s">
        <v>17</v>
      </c>
      <c r="M827" t="s">
        <v>18</v>
      </c>
      <c r="N827" t="s">
        <v>22</v>
      </c>
    </row>
    <row r="828" spans="1:14" x14ac:dyDescent="0.3">
      <c r="A828" s="1">
        <v>45235</v>
      </c>
      <c r="B828" s="1" t="str">
        <f t="shared" si="48"/>
        <v>Nov</v>
      </c>
      <c r="C828" s="1" t="str">
        <f t="shared" si="49"/>
        <v>2023</v>
      </c>
      <c r="D828" t="s">
        <v>42</v>
      </c>
      <c r="E828" t="s">
        <v>34</v>
      </c>
      <c r="F828" t="s">
        <v>16</v>
      </c>
      <c r="G828">
        <v>4173.04</v>
      </c>
      <c r="H828">
        <v>4362.4399999999996</v>
      </c>
      <c r="I828">
        <v>3</v>
      </c>
      <c r="J828">
        <f t="shared" si="50"/>
        <v>13087.32</v>
      </c>
      <c r="K828">
        <f t="shared" si="51"/>
        <v>568.19999999999891</v>
      </c>
      <c r="L828" t="s">
        <v>30</v>
      </c>
      <c r="M828" t="s">
        <v>27</v>
      </c>
      <c r="N828" t="s">
        <v>22</v>
      </c>
    </row>
    <row r="829" spans="1:14" x14ac:dyDescent="0.3">
      <c r="A829" s="1">
        <v>45235</v>
      </c>
      <c r="B829" s="1" t="str">
        <f t="shared" si="48"/>
        <v>Nov</v>
      </c>
      <c r="C829" s="1" t="str">
        <f t="shared" si="49"/>
        <v>2023</v>
      </c>
      <c r="D829" t="s">
        <v>24</v>
      </c>
      <c r="E829" t="s">
        <v>21</v>
      </c>
      <c r="F829" t="s">
        <v>29</v>
      </c>
      <c r="G829">
        <v>591.98</v>
      </c>
      <c r="H829">
        <v>934.04</v>
      </c>
      <c r="I829">
        <v>39</v>
      </c>
      <c r="J829">
        <f t="shared" si="50"/>
        <v>36427.56</v>
      </c>
      <c r="K829">
        <f t="shared" si="51"/>
        <v>13340.339999999998</v>
      </c>
      <c r="L829" t="s">
        <v>30</v>
      </c>
      <c r="M829" t="s">
        <v>27</v>
      </c>
      <c r="N829" t="s">
        <v>22</v>
      </c>
    </row>
    <row r="830" spans="1:14" x14ac:dyDescent="0.3">
      <c r="A830" s="1">
        <v>45235</v>
      </c>
      <c r="B830" s="1" t="str">
        <f t="shared" si="48"/>
        <v>Nov</v>
      </c>
      <c r="C830" s="1" t="str">
        <f t="shared" si="49"/>
        <v>2023</v>
      </c>
      <c r="D830" t="s">
        <v>14</v>
      </c>
      <c r="E830" t="s">
        <v>34</v>
      </c>
      <c r="F830" t="s">
        <v>26</v>
      </c>
      <c r="G830">
        <v>1675.51</v>
      </c>
      <c r="H830">
        <v>1906.6399999999901</v>
      </c>
      <c r="I830">
        <v>37</v>
      </c>
      <c r="J830">
        <f t="shared" si="50"/>
        <v>70545.679999999629</v>
      </c>
      <c r="K830">
        <f t="shared" si="51"/>
        <v>8551.8099999996339</v>
      </c>
      <c r="L830" t="s">
        <v>30</v>
      </c>
      <c r="M830" t="s">
        <v>27</v>
      </c>
      <c r="N830" t="s">
        <v>19</v>
      </c>
    </row>
    <row r="831" spans="1:14" x14ac:dyDescent="0.3">
      <c r="A831" s="1">
        <v>45235</v>
      </c>
      <c r="B831" s="1" t="str">
        <f t="shared" si="48"/>
        <v>Nov</v>
      </c>
      <c r="C831" s="1" t="str">
        <f t="shared" si="49"/>
        <v>2023</v>
      </c>
      <c r="D831" t="s">
        <v>42</v>
      </c>
      <c r="E831" t="s">
        <v>25</v>
      </c>
      <c r="F831" t="s">
        <v>16</v>
      </c>
      <c r="G831">
        <v>2273.91</v>
      </c>
      <c r="H831">
        <v>2578.7999999999902</v>
      </c>
      <c r="I831">
        <v>10</v>
      </c>
      <c r="J831">
        <f t="shared" si="50"/>
        <v>25787.999999999902</v>
      </c>
      <c r="K831">
        <f t="shared" si="51"/>
        <v>3048.8999999999032</v>
      </c>
      <c r="L831" t="s">
        <v>30</v>
      </c>
      <c r="M831" t="s">
        <v>18</v>
      </c>
      <c r="N831" t="s">
        <v>19</v>
      </c>
    </row>
    <row r="832" spans="1:14" x14ac:dyDescent="0.3">
      <c r="A832" s="1">
        <v>45235</v>
      </c>
      <c r="B832" s="1" t="str">
        <f t="shared" si="48"/>
        <v>Nov</v>
      </c>
      <c r="C832" s="1" t="str">
        <f t="shared" si="49"/>
        <v>2023</v>
      </c>
      <c r="D832" t="s">
        <v>38</v>
      </c>
      <c r="E832" t="s">
        <v>34</v>
      </c>
      <c r="F832" t="s">
        <v>35</v>
      </c>
      <c r="G832">
        <v>698.74</v>
      </c>
      <c r="H832">
        <v>882.28</v>
      </c>
      <c r="I832">
        <v>30</v>
      </c>
      <c r="J832">
        <f t="shared" si="50"/>
        <v>26468.399999999998</v>
      </c>
      <c r="K832">
        <f t="shared" si="51"/>
        <v>5506.1999999999989</v>
      </c>
      <c r="L832" t="s">
        <v>17</v>
      </c>
      <c r="M832" t="s">
        <v>31</v>
      </c>
      <c r="N832" t="s">
        <v>19</v>
      </c>
    </row>
    <row r="833" spans="1:14" x14ac:dyDescent="0.3">
      <c r="A833" s="1">
        <v>45236</v>
      </c>
      <c r="B833" s="1" t="str">
        <f t="shared" si="48"/>
        <v>Nov</v>
      </c>
      <c r="C833" s="1" t="str">
        <f t="shared" si="49"/>
        <v>2023</v>
      </c>
      <c r="D833" t="s">
        <v>14</v>
      </c>
      <c r="E833" t="s">
        <v>25</v>
      </c>
      <c r="F833" t="s">
        <v>26</v>
      </c>
      <c r="G833">
        <v>834.32</v>
      </c>
      <c r="H833">
        <v>1098.97</v>
      </c>
      <c r="I833">
        <v>22</v>
      </c>
      <c r="J833">
        <f t="shared" si="50"/>
        <v>24177.34</v>
      </c>
      <c r="K833">
        <f t="shared" si="51"/>
        <v>5822.2999999999993</v>
      </c>
      <c r="L833" t="s">
        <v>17</v>
      </c>
      <c r="M833" t="s">
        <v>18</v>
      </c>
      <c r="N833" t="s">
        <v>19</v>
      </c>
    </row>
    <row r="834" spans="1:14" x14ac:dyDescent="0.3">
      <c r="A834" s="1">
        <v>45236</v>
      </c>
      <c r="B834" s="1" t="str">
        <f t="shared" ref="B834:B897" si="52">TEXT(A834,"MMM")</f>
        <v>Nov</v>
      </c>
      <c r="C834" s="1" t="str">
        <f t="shared" ref="C834:C897" si="53">TEXT(A834,"YYYY")</f>
        <v>2023</v>
      </c>
      <c r="D834" t="s">
        <v>24</v>
      </c>
      <c r="E834" t="s">
        <v>34</v>
      </c>
      <c r="F834" t="s">
        <v>26</v>
      </c>
      <c r="G834">
        <v>2361.0500000000002</v>
      </c>
      <c r="H834">
        <v>2616.19</v>
      </c>
      <c r="I834">
        <v>25</v>
      </c>
      <c r="J834">
        <f t="shared" ref="J834:J897" si="54">(I834*H834)</f>
        <v>65404.75</v>
      </c>
      <c r="K834">
        <f t="shared" ref="K834:K897" si="55">(H834-G834)*I834</f>
        <v>6378.4999999999964</v>
      </c>
      <c r="L834" t="s">
        <v>30</v>
      </c>
      <c r="M834" t="s">
        <v>27</v>
      </c>
      <c r="N834" t="s">
        <v>22</v>
      </c>
    </row>
    <row r="835" spans="1:14" x14ac:dyDescent="0.3">
      <c r="A835" s="1">
        <v>45236</v>
      </c>
      <c r="B835" s="1" t="str">
        <f t="shared" si="52"/>
        <v>Nov</v>
      </c>
      <c r="C835" s="1" t="str">
        <f t="shared" si="53"/>
        <v>2023</v>
      </c>
      <c r="D835" t="s">
        <v>24</v>
      </c>
      <c r="E835" t="s">
        <v>15</v>
      </c>
      <c r="F835" t="s">
        <v>26</v>
      </c>
      <c r="G835">
        <v>3942.34</v>
      </c>
      <c r="H835">
        <v>4142.09</v>
      </c>
      <c r="I835">
        <v>47</v>
      </c>
      <c r="J835">
        <f t="shared" si="54"/>
        <v>194678.23</v>
      </c>
      <c r="K835">
        <f t="shared" si="55"/>
        <v>9388.25</v>
      </c>
      <c r="L835" t="s">
        <v>17</v>
      </c>
      <c r="M835" t="s">
        <v>31</v>
      </c>
      <c r="N835" t="s">
        <v>22</v>
      </c>
    </row>
    <row r="836" spans="1:14" x14ac:dyDescent="0.3">
      <c r="A836" s="1">
        <v>45236</v>
      </c>
      <c r="B836" s="1" t="str">
        <f t="shared" si="52"/>
        <v>Nov</v>
      </c>
      <c r="C836" s="1" t="str">
        <f t="shared" si="53"/>
        <v>2023</v>
      </c>
      <c r="D836" t="s">
        <v>24</v>
      </c>
      <c r="E836" t="s">
        <v>25</v>
      </c>
      <c r="F836" t="s">
        <v>26</v>
      </c>
      <c r="G836">
        <v>1786.35</v>
      </c>
      <c r="H836">
        <v>1935.29</v>
      </c>
      <c r="I836">
        <v>8</v>
      </c>
      <c r="J836">
        <f t="shared" si="54"/>
        <v>15482.32</v>
      </c>
      <c r="K836">
        <f t="shared" si="55"/>
        <v>1191.5200000000004</v>
      </c>
      <c r="L836" t="s">
        <v>30</v>
      </c>
      <c r="M836" t="s">
        <v>18</v>
      </c>
      <c r="N836" t="s">
        <v>19</v>
      </c>
    </row>
    <row r="837" spans="1:14" x14ac:dyDescent="0.3">
      <c r="A837" s="1">
        <v>45237</v>
      </c>
      <c r="B837" s="1" t="str">
        <f t="shared" si="52"/>
        <v>Nov</v>
      </c>
      <c r="C837" s="1" t="str">
        <f t="shared" si="53"/>
        <v>2023</v>
      </c>
      <c r="D837" t="s">
        <v>14</v>
      </c>
      <c r="E837" t="s">
        <v>34</v>
      </c>
      <c r="F837" t="s">
        <v>29</v>
      </c>
      <c r="G837">
        <v>1291.82</v>
      </c>
      <c r="H837">
        <v>1308.4399999999901</v>
      </c>
      <c r="I837">
        <v>26</v>
      </c>
      <c r="J837">
        <f t="shared" si="54"/>
        <v>34019.43999999974</v>
      </c>
      <c r="K837">
        <f t="shared" si="55"/>
        <v>432.11999999974296</v>
      </c>
      <c r="L837" t="s">
        <v>17</v>
      </c>
      <c r="M837" t="s">
        <v>31</v>
      </c>
      <c r="N837" t="s">
        <v>19</v>
      </c>
    </row>
    <row r="838" spans="1:14" x14ac:dyDescent="0.3">
      <c r="A838" s="1">
        <v>45237</v>
      </c>
      <c r="B838" s="1" t="str">
        <f t="shared" si="52"/>
        <v>Nov</v>
      </c>
      <c r="C838" s="1" t="str">
        <f t="shared" si="53"/>
        <v>2023</v>
      </c>
      <c r="D838" t="s">
        <v>14</v>
      </c>
      <c r="E838" t="s">
        <v>21</v>
      </c>
      <c r="F838" t="s">
        <v>16</v>
      </c>
      <c r="G838">
        <v>4157.62</v>
      </c>
      <c r="H838">
        <v>4314.5599999999904</v>
      </c>
      <c r="I838">
        <v>47</v>
      </c>
      <c r="J838">
        <f t="shared" si="54"/>
        <v>202784.31999999954</v>
      </c>
      <c r="K838">
        <f t="shared" si="55"/>
        <v>7376.1799999995537</v>
      </c>
      <c r="L838" t="s">
        <v>30</v>
      </c>
      <c r="M838" t="s">
        <v>27</v>
      </c>
      <c r="N838" t="s">
        <v>22</v>
      </c>
    </row>
    <row r="839" spans="1:14" x14ac:dyDescent="0.3">
      <c r="A839" s="1">
        <v>45237</v>
      </c>
      <c r="B839" s="1" t="str">
        <f t="shared" si="52"/>
        <v>Nov</v>
      </c>
      <c r="C839" s="1" t="str">
        <f t="shared" si="53"/>
        <v>2023</v>
      </c>
      <c r="D839" t="s">
        <v>33</v>
      </c>
      <c r="E839" t="s">
        <v>21</v>
      </c>
      <c r="F839" t="s">
        <v>29</v>
      </c>
      <c r="G839">
        <v>4266.6400000000003</v>
      </c>
      <c r="H839">
        <v>4523.3599999999997</v>
      </c>
      <c r="I839">
        <v>32</v>
      </c>
      <c r="J839">
        <f t="shared" si="54"/>
        <v>144747.51999999999</v>
      </c>
      <c r="K839">
        <f t="shared" si="55"/>
        <v>8215.039999999979</v>
      </c>
      <c r="L839" t="s">
        <v>30</v>
      </c>
      <c r="M839" t="s">
        <v>27</v>
      </c>
      <c r="N839" t="s">
        <v>22</v>
      </c>
    </row>
    <row r="840" spans="1:14" x14ac:dyDescent="0.3">
      <c r="A840" s="1">
        <v>45237</v>
      </c>
      <c r="B840" s="1" t="str">
        <f t="shared" si="52"/>
        <v>Nov</v>
      </c>
      <c r="C840" s="1" t="str">
        <f t="shared" si="53"/>
        <v>2023</v>
      </c>
      <c r="D840" t="s">
        <v>42</v>
      </c>
      <c r="E840" t="s">
        <v>21</v>
      </c>
      <c r="F840" t="s">
        <v>26</v>
      </c>
      <c r="G840">
        <v>2407.8000000000002</v>
      </c>
      <c r="H840">
        <v>2502.7600000000002</v>
      </c>
      <c r="I840">
        <v>31</v>
      </c>
      <c r="J840">
        <f t="shared" si="54"/>
        <v>77585.560000000012</v>
      </c>
      <c r="K840">
        <f t="shared" si="55"/>
        <v>2943.7600000000011</v>
      </c>
      <c r="L840" t="s">
        <v>17</v>
      </c>
      <c r="M840" t="s">
        <v>18</v>
      </c>
      <c r="N840" t="s">
        <v>22</v>
      </c>
    </row>
    <row r="841" spans="1:14" x14ac:dyDescent="0.3">
      <c r="A841" s="1">
        <v>45238</v>
      </c>
      <c r="B841" s="1" t="str">
        <f t="shared" si="52"/>
        <v>Nov</v>
      </c>
      <c r="C841" s="1" t="str">
        <f t="shared" si="53"/>
        <v>2023</v>
      </c>
      <c r="D841" t="s">
        <v>33</v>
      </c>
      <c r="E841" t="s">
        <v>34</v>
      </c>
      <c r="F841" t="s">
        <v>16</v>
      </c>
      <c r="G841">
        <v>3271.62</v>
      </c>
      <c r="H841">
        <v>3722.38</v>
      </c>
      <c r="I841">
        <v>18</v>
      </c>
      <c r="J841">
        <f t="shared" si="54"/>
        <v>67002.84</v>
      </c>
      <c r="K841">
        <f t="shared" si="55"/>
        <v>8113.6800000000039</v>
      </c>
      <c r="L841" t="s">
        <v>17</v>
      </c>
      <c r="M841" t="s">
        <v>27</v>
      </c>
      <c r="N841" t="s">
        <v>22</v>
      </c>
    </row>
    <row r="842" spans="1:14" x14ac:dyDescent="0.3">
      <c r="A842" s="1">
        <v>45238</v>
      </c>
      <c r="B842" s="1" t="str">
        <f t="shared" si="52"/>
        <v>Nov</v>
      </c>
      <c r="C842" s="1" t="str">
        <f t="shared" si="53"/>
        <v>2023</v>
      </c>
      <c r="D842" t="s">
        <v>24</v>
      </c>
      <c r="E842" t="s">
        <v>25</v>
      </c>
      <c r="F842" t="s">
        <v>29</v>
      </c>
      <c r="G842">
        <v>1780.14</v>
      </c>
      <c r="H842">
        <v>2185.42</v>
      </c>
      <c r="I842">
        <v>17</v>
      </c>
      <c r="J842">
        <f t="shared" si="54"/>
        <v>37152.14</v>
      </c>
      <c r="K842">
        <f t="shared" si="55"/>
        <v>6889.7599999999993</v>
      </c>
      <c r="L842" t="s">
        <v>17</v>
      </c>
      <c r="M842" t="s">
        <v>31</v>
      </c>
      <c r="N842" t="s">
        <v>22</v>
      </c>
    </row>
    <row r="843" spans="1:14" x14ac:dyDescent="0.3">
      <c r="A843" s="1">
        <v>45239</v>
      </c>
      <c r="B843" s="1" t="str">
        <f t="shared" si="52"/>
        <v>Nov</v>
      </c>
      <c r="C843" s="1" t="str">
        <f t="shared" si="53"/>
        <v>2023</v>
      </c>
      <c r="D843" t="s">
        <v>24</v>
      </c>
      <c r="E843" t="s">
        <v>15</v>
      </c>
      <c r="F843" t="s">
        <v>35</v>
      </c>
      <c r="G843">
        <v>132.47</v>
      </c>
      <c r="H843">
        <v>316.39</v>
      </c>
      <c r="I843">
        <v>9</v>
      </c>
      <c r="J843">
        <f t="shared" si="54"/>
        <v>2847.5099999999998</v>
      </c>
      <c r="K843">
        <f t="shared" si="55"/>
        <v>1655.28</v>
      </c>
      <c r="L843" t="s">
        <v>30</v>
      </c>
      <c r="M843" t="s">
        <v>31</v>
      </c>
      <c r="N843" t="s">
        <v>19</v>
      </c>
    </row>
    <row r="844" spans="1:14" x14ac:dyDescent="0.3">
      <c r="A844" s="1">
        <v>45239</v>
      </c>
      <c r="B844" s="1" t="str">
        <f t="shared" si="52"/>
        <v>Nov</v>
      </c>
      <c r="C844" s="1" t="str">
        <f t="shared" si="53"/>
        <v>2023</v>
      </c>
      <c r="D844" t="s">
        <v>33</v>
      </c>
      <c r="E844" t="s">
        <v>25</v>
      </c>
      <c r="F844" t="s">
        <v>16</v>
      </c>
      <c r="G844">
        <v>88.44</v>
      </c>
      <c r="H844">
        <v>338.94</v>
      </c>
      <c r="I844">
        <v>24</v>
      </c>
      <c r="J844">
        <f t="shared" si="54"/>
        <v>8134.5599999999995</v>
      </c>
      <c r="K844">
        <f t="shared" si="55"/>
        <v>6012</v>
      </c>
      <c r="L844" t="s">
        <v>30</v>
      </c>
      <c r="M844" t="s">
        <v>18</v>
      </c>
      <c r="N844" t="s">
        <v>19</v>
      </c>
    </row>
    <row r="845" spans="1:14" x14ac:dyDescent="0.3">
      <c r="A845" s="1">
        <v>45239</v>
      </c>
      <c r="B845" s="1" t="str">
        <f t="shared" si="52"/>
        <v>Nov</v>
      </c>
      <c r="C845" s="1" t="str">
        <f t="shared" si="53"/>
        <v>2023</v>
      </c>
      <c r="D845" t="s">
        <v>14</v>
      </c>
      <c r="E845" t="s">
        <v>34</v>
      </c>
      <c r="F845" t="s">
        <v>35</v>
      </c>
      <c r="G845">
        <v>2934.3</v>
      </c>
      <c r="H845">
        <v>3337.4</v>
      </c>
      <c r="I845">
        <v>25</v>
      </c>
      <c r="J845">
        <f t="shared" si="54"/>
        <v>83435</v>
      </c>
      <c r="K845">
        <f t="shared" si="55"/>
        <v>10077.499999999998</v>
      </c>
      <c r="L845" t="s">
        <v>17</v>
      </c>
      <c r="M845" t="s">
        <v>31</v>
      </c>
      <c r="N845" t="s">
        <v>22</v>
      </c>
    </row>
    <row r="846" spans="1:14" x14ac:dyDescent="0.3">
      <c r="A846" s="1">
        <v>45239</v>
      </c>
      <c r="B846" s="1" t="str">
        <f t="shared" si="52"/>
        <v>Nov</v>
      </c>
      <c r="C846" s="1" t="str">
        <f t="shared" si="53"/>
        <v>2023</v>
      </c>
      <c r="D846" t="s">
        <v>24</v>
      </c>
      <c r="E846" t="s">
        <v>34</v>
      </c>
      <c r="F846" t="s">
        <v>29</v>
      </c>
      <c r="G846">
        <v>1621.07</v>
      </c>
      <c r="H846">
        <v>1687.5</v>
      </c>
      <c r="I846">
        <v>6</v>
      </c>
      <c r="J846">
        <f t="shared" si="54"/>
        <v>10125</v>
      </c>
      <c r="K846">
        <f t="shared" si="55"/>
        <v>398.58000000000038</v>
      </c>
      <c r="L846" t="s">
        <v>17</v>
      </c>
      <c r="M846" t="s">
        <v>31</v>
      </c>
      <c r="N846" t="s">
        <v>19</v>
      </c>
    </row>
    <row r="847" spans="1:14" x14ac:dyDescent="0.3">
      <c r="A847" s="1">
        <v>45239</v>
      </c>
      <c r="B847" s="1" t="str">
        <f t="shared" si="52"/>
        <v>Nov</v>
      </c>
      <c r="C847" s="1" t="str">
        <f t="shared" si="53"/>
        <v>2023</v>
      </c>
      <c r="D847" t="s">
        <v>24</v>
      </c>
      <c r="E847" t="s">
        <v>34</v>
      </c>
      <c r="F847" t="s">
        <v>26</v>
      </c>
      <c r="G847">
        <v>1281.6500000000001</v>
      </c>
      <c r="H847">
        <v>1709.71</v>
      </c>
      <c r="I847">
        <v>1</v>
      </c>
      <c r="J847">
        <f t="shared" si="54"/>
        <v>1709.71</v>
      </c>
      <c r="K847">
        <f t="shared" si="55"/>
        <v>428.05999999999995</v>
      </c>
      <c r="L847" t="s">
        <v>17</v>
      </c>
      <c r="M847" t="s">
        <v>31</v>
      </c>
      <c r="N847" t="s">
        <v>19</v>
      </c>
    </row>
    <row r="848" spans="1:14" x14ac:dyDescent="0.3">
      <c r="A848" s="1">
        <v>45240</v>
      </c>
      <c r="B848" s="1" t="str">
        <f t="shared" si="52"/>
        <v>Nov</v>
      </c>
      <c r="C848" s="1" t="str">
        <f t="shared" si="53"/>
        <v>2023</v>
      </c>
      <c r="D848" t="s">
        <v>14</v>
      </c>
      <c r="E848" t="s">
        <v>34</v>
      </c>
      <c r="F848" t="s">
        <v>16</v>
      </c>
      <c r="G848">
        <v>1362.31</v>
      </c>
      <c r="H848">
        <v>1486.29</v>
      </c>
      <c r="I848">
        <v>33</v>
      </c>
      <c r="J848">
        <f t="shared" si="54"/>
        <v>49047.57</v>
      </c>
      <c r="K848">
        <f t="shared" si="55"/>
        <v>4091.3400000000006</v>
      </c>
      <c r="L848" t="s">
        <v>17</v>
      </c>
      <c r="M848" t="s">
        <v>31</v>
      </c>
      <c r="N848" t="s">
        <v>22</v>
      </c>
    </row>
    <row r="849" spans="1:14" x14ac:dyDescent="0.3">
      <c r="A849" s="1">
        <v>45240</v>
      </c>
      <c r="B849" s="1" t="str">
        <f t="shared" si="52"/>
        <v>Nov</v>
      </c>
      <c r="C849" s="1" t="str">
        <f t="shared" si="53"/>
        <v>2023</v>
      </c>
      <c r="D849" t="s">
        <v>42</v>
      </c>
      <c r="E849" t="s">
        <v>15</v>
      </c>
      <c r="F849" t="s">
        <v>29</v>
      </c>
      <c r="G849">
        <v>2183.37</v>
      </c>
      <c r="H849">
        <v>2263.3599999999901</v>
      </c>
      <c r="I849">
        <v>16</v>
      </c>
      <c r="J849">
        <f t="shared" si="54"/>
        <v>36213.759999999842</v>
      </c>
      <c r="K849">
        <f t="shared" si="55"/>
        <v>1279.8399999998437</v>
      </c>
      <c r="L849" t="s">
        <v>17</v>
      </c>
      <c r="M849" t="s">
        <v>27</v>
      </c>
      <c r="N849" t="s">
        <v>22</v>
      </c>
    </row>
    <row r="850" spans="1:14" x14ac:dyDescent="0.3">
      <c r="A850" s="1">
        <v>45241</v>
      </c>
      <c r="B850" s="1" t="str">
        <f t="shared" si="52"/>
        <v>Nov</v>
      </c>
      <c r="C850" s="1" t="str">
        <f t="shared" si="53"/>
        <v>2023</v>
      </c>
      <c r="D850" t="s">
        <v>38</v>
      </c>
      <c r="E850" t="s">
        <v>21</v>
      </c>
      <c r="F850" t="s">
        <v>26</v>
      </c>
      <c r="G850">
        <v>622.01</v>
      </c>
      <c r="H850">
        <v>641.09</v>
      </c>
      <c r="I850">
        <v>21</v>
      </c>
      <c r="J850">
        <f t="shared" si="54"/>
        <v>13462.890000000001</v>
      </c>
      <c r="K850">
        <f t="shared" si="55"/>
        <v>400.68000000000086</v>
      </c>
      <c r="L850" t="s">
        <v>17</v>
      </c>
      <c r="M850" t="s">
        <v>27</v>
      </c>
      <c r="N850" t="s">
        <v>22</v>
      </c>
    </row>
    <row r="851" spans="1:14" x14ac:dyDescent="0.3">
      <c r="A851" s="1">
        <v>45241</v>
      </c>
      <c r="B851" s="1" t="str">
        <f t="shared" si="52"/>
        <v>Nov</v>
      </c>
      <c r="C851" s="1" t="str">
        <f t="shared" si="53"/>
        <v>2023</v>
      </c>
      <c r="D851" t="s">
        <v>42</v>
      </c>
      <c r="E851" t="s">
        <v>34</v>
      </c>
      <c r="F851" t="s">
        <v>35</v>
      </c>
      <c r="G851">
        <v>3414.54</v>
      </c>
      <c r="H851">
        <v>3753.83</v>
      </c>
      <c r="I851">
        <v>32</v>
      </c>
      <c r="J851">
        <f t="shared" si="54"/>
        <v>120122.56</v>
      </c>
      <c r="K851">
        <f t="shared" si="55"/>
        <v>10857.279999999999</v>
      </c>
      <c r="L851" t="s">
        <v>30</v>
      </c>
      <c r="M851" t="s">
        <v>18</v>
      </c>
      <c r="N851" t="s">
        <v>22</v>
      </c>
    </row>
    <row r="852" spans="1:14" x14ac:dyDescent="0.3">
      <c r="A852" s="1">
        <v>45242</v>
      </c>
      <c r="B852" s="1" t="str">
        <f t="shared" si="52"/>
        <v>Nov</v>
      </c>
      <c r="C852" s="1" t="str">
        <f t="shared" si="53"/>
        <v>2023</v>
      </c>
      <c r="D852" t="s">
        <v>42</v>
      </c>
      <c r="E852" t="s">
        <v>15</v>
      </c>
      <c r="F852" t="s">
        <v>35</v>
      </c>
      <c r="G852">
        <v>3657.91</v>
      </c>
      <c r="H852">
        <v>3729.27</v>
      </c>
      <c r="I852">
        <v>8</v>
      </c>
      <c r="J852">
        <f t="shared" si="54"/>
        <v>29834.16</v>
      </c>
      <c r="K852">
        <f t="shared" si="55"/>
        <v>570.88000000000102</v>
      </c>
      <c r="L852" t="s">
        <v>30</v>
      </c>
      <c r="M852" t="s">
        <v>27</v>
      </c>
      <c r="N852" t="s">
        <v>22</v>
      </c>
    </row>
    <row r="853" spans="1:14" x14ac:dyDescent="0.3">
      <c r="A853" s="1">
        <v>45242</v>
      </c>
      <c r="B853" s="1" t="str">
        <f t="shared" si="52"/>
        <v>Nov</v>
      </c>
      <c r="C853" s="1" t="str">
        <f t="shared" si="53"/>
        <v>2023</v>
      </c>
      <c r="D853" t="s">
        <v>38</v>
      </c>
      <c r="E853" t="s">
        <v>34</v>
      </c>
      <c r="F853" t="s">
        <v>29</v>
      </c>
      <c r="G853">
        <v>3592.32</v>
      </c>
      <c r="H853">
        <v>3813.48</v>
      </c>
      <c r="I853">
        <v>28</v>
      </c>
      <c r="J853">
        <f t="shared" si="54"/>
        <v>106777.44</v>
      </c>
      <c r="K853">
        <f t="shared" si="55"/>
        <v>6192.4799999999959</v>
      </c>
      <c r="L853" t="s">
        <v>30</v>
      </c>
      <c r="M853" t="s">
        <v>31</v>
      </c>
      <c r="N853" t="s">
        <v>22</v>
      </c>
    </row>
    <row r="854" spans="1:14" x14ac:dyDescent="0.3">
      <c r="A854" s="1">
        <v>45242</v>
      </c>
      <c r="B854" s="1" t="str">
        <f t="shared" si="52"/>
        <v>Nov</v>
      </c>
      <c r="C854" s="1" t="str">
        <f t="shared" si="53"/>
        <v>2023</v>
      </c>
      <c r="D854" t="s">
        <v>38</v>
      </c>
      <c r="E854" t="s">
        <v>25</v>
      </c>
      <c r="F854" t="s">
        <v>35</v>
      </c>
      <c r="G854">
        <v>1468.05</v>
      </c>
      <c r="H854">
        <v>1838.21</v>
      </c>
      <c r="I854">
        <v>9</v>
      </c>
      <c r="J854">
        <f t="shared" si="54"/>
        <v>16543.89</v>
      </c>
      <c r="K854">
        <f t="shared" si="55"/>
        <v>3331.4400000000005</v>
      </c>
      <c r="L854" t="s">
        <v>30</v>
      </c>
      <c r="M854" t="s">
        <v>27</v>
      </c>
      <c r="N854" t="s">
        <v>22</v>
      </c>
    </row>
    <row r="855" spans="1:14" x14ac:dyDescent="0.3">
      <c r="A855" s="1">
        <v>45242</v>
      </c>
      <c r="B855" s="1" t="str">
        <f t="shared" si="52"/>
        <v>Nov</v>
      </c>
      <c r="C855" s="1" t="str">
        <f t="shared" si="53"/>
        <v>2023</v>
      </c>
      <c r="D855" t="s">
        <v>14</v>
      </c>
      <c r="E855" t="s">
        <v>25</v>
      </c>
      <c r="F855" t="s">
        <v>35</v>
      </c>
      <c r="G855">
        <v>310.24</v>
      </c>
      <c r="H855">
        <v>451.81</v>
      </c>
      <c r="I855">
        <v>9</v>
      </c>
      <c r="J855">
        <f t="shared" si="54"/>
        <v>4066.29</v>
      </c>
      <c r="K855">
        <f t="shared" si="55"/>
        <v>1274.1299999999999</v>
      </c>
      <c r="L855" t="s">
        <v>17</v>
      </c>
      <c r="M855" t="s">
        <v>18</v>
      </c>
      <c r="N855" t="s">
        <v>22</v>
      </c>
    </row>
    <row r="856" spans="1:14" x14ac:dyDescent="0.3">
      <c r="A856" s="1">
        <v>45243</v>
      </c>
      <c r="B856" s="1" t="str">
        <f t="shared" si="52"/>
        <v>Nov</v>
      </c>
      <c r="C856" s="1" t="str">
        <f t="shared" si="53"/>
        <v>2023</v>
      </c>
      <c r="D856" t="s">
        <v>42</v>
      </c>
      <c r="E856" t="s">
        <v>15</v>
      </c>
      <c r="F856" t="s">
        <v>26</v>
      </c>
      <c r="G856">
        <v>1711.63</v>
      </c>
      <c r="H856">
        <v>1951.24</v>
      </c>
      <c r="I856">
        <v>28</v>
      </c>
      <c r="J856">
        <f t="shared" si="54"/>
        <v>54634.720000000001</v>
      </c>
      <c r="K856">
        <f t="shared" si="55"/>
        <v>6709.0799999999972</v>
      </c>
      <c r="L856" t="s">
        <v>30</v>
      </c>
      <c r="M856" t="s">
        <v>18</v>
      </c>
      <c r="N856" t="s">
        <v>19</v>
      </c>
    </row>
    <row r="857" spans="1:14" x14ac:dyDescent="0.3">
      <c r="A857" s="1">
        <v>45244</v>
      </c>
      <c r="B857" s="1" t="str">
        <f t="shared" si="52"/>
        <v>Nov</v>
      </c>
      <c r="C857" s="1" t="str">
        <f t="shared" si="53"/>
        <v>2023</v>
      </c>
      <c r="D857" t="s">
        <v>24</v>
      </c>
      <c r="E857" t="s">
        <v>15</v>
      </c>
      <c r="F857" t="s">
        <v>16</v>
      </c>
      <c r="G857">
        <v>666.84</v>
      </c>
      <c r="H857">
        <v>682.24</v>
      </c>
      <c r="I857">
        <v>36</v>
      </c>
      <c r="J857">
        <f t="shared" si="54"/>
        <v>24560.639999999999</v>
      </c>
      <c r="K857">
        <f t="shared" si="55"/>
        <v>554.39999999999918</v>
      </c>
      <c r="L857" t="s">
        <v>30</v>
      </c>
      <c r="M857" t="s">
        <v>27</v>
      </c>
      <c r="N857" t="s">
        <v>22</v>
      </c>
    </row>
    <row r="858" spans="1:14" x14ac:dyDescent="0.3">
      <c r="A858" s="1">
        <v>45244</v>
      </c>
      <c r="B858" s="1" t="str">
        <f t="shared" si="52"/>
        <v>Nov</v>
      </c>
      <c r="C858" s="1" t="str">
        <f t="shared" si="53"/>
        <v>2023</v>
      </c>
      <c r="D858" t="s">
        <v>38</v>
      </c>
      <c r="E858" t="s">
        <v>15</v>
      </c>
      <c r="F858" t="s">
        <v>29</v>
      </c>
      <c r="G858">
        <v>3609.42</v>
      </c>
      <c r="H858">
        <v>4082.62</v>
      </c>
      <c r="I858">
        <v>6</v>
      </c>
      <c r="J858">
        <f t="shared" si="54"/>
        <v>24495.72</v>
      </c>
      <c r="K858">
        <f t="shared" si="55"/>
        <v>2839.1999999999989</v>
      </c>
      <c r="L858" t="s">
        <v>17</v>
      </c>
      <c r="M858" t="s">
        <v>27</v>
      </c>
      <c r="N858" t="s">
        <v>22</v>
      </c>
    </row>
    <row r="859" spans="1:14" x14ac:dyDescent="0.3">
      <c r="A859" s="1">
        <v>45244</v>
      </c>
      <c r="B859" s="1" t="str">
        <f t="shared" si="52"/>
        <v>Nov</v>
      </c>
      <c r="C859" s="1" t="str">
        <f t="shared" si="53"/>
        <v>2023</v>
      </c>
      <c r="D859" t="s">
        <v>24</v>
      </c>
      <c r="E859" t="s">
        <v>15</v>
      </c>
      <c r="F859" t="s">
        <v>35</v>
      </c>
      <c r="G859">
        <v>1185.5</v>
      </c>
      <c r="H859">
        <v>1271.45</v>
      </c>
      <c r="I859">
        <v>14</v>
      </c>
      <c r="J859">
        <f t="shared" si="54"/>
        <v>17800.3</v>
      </c>
      <c r="K859">
        <f t="shared" si="55"/>
        <v>1203.3000000000006</v>
      </c>
      <c r="L859" t="s">
        <v>17</v>
      </c>
      <c r="M859" t="s">
        <v>27</v>
      </c>
      <c r="N859" t="s">
        <v>22</v>
      </c>
    </row>
    <row r="860" spans="1:14" x14ac:dyDescent="0.3">
      <c r="A860" s="1">
        <v>45244</v>
      </c>
      <c r="B860" s="1" t="str">
        <f t="shared" si="52"/>
        <v>Nov</v>
      </c>
      <c r="C860" s="1" t="str">
        <f t="shared" si="53"/>
        <v>2023</v>
      </c>
      <c r="D860" t="s">
        <v>24</v>
      </c>
      <c r="E860" t="s">
        <v>25</v>
      </c>
      <c r="F860" t="s">
        <v>16</v>
      </c>
      <c r="G860">
        <v>2981.5</v>
      </c>
      <c r="H860">
        <v>3360.4</v>
      </c>
      <c r="I860">
        <v>23</v>
      </c>
      <c r="J860">
        <f t="shared" si="54"/>
        <v>77289.2</v>
      </c>
      <c r="K860">
        <f t="shared" si="55"/>
        <v>8714.7000000000025</v>
      </c>
      <c r="L860" t="s">
        <v>17</v>
      </c>
      <c r="M860" t="s">
        <v>27</v>
      </c>
      <c r="N860" t="s">
        <v>22</v>
      </c>
    </row>
    <row r="861" spans="1:14" x14ac:dyDescent="0.3">
      <c r="A861" s="1">
        <v>45244</v>
      </c>
      <c r="B861" s="1" t="str">
        <f t="shared" si="52"/>
        <v>Nov</v>
      </c>
      <c r="C861" s="1" t="str">
        <f t="shared" si="53"/>
        <v>2023</v>
      </c>
      <c r="D861" t="s">
        <v>33</v>
      </c>
      <c r="E861" t="s">
        <v>21</v>
      </c>
      <c r="F861" t="s">
        <v>29</v>
      </c>
      <c r="G861">
        <v>1218.18</v>
      </c>
      <c r="H861">
        <v>1566.36</v>
      </c>
      <c r="I861">
        <v>42</v>
      </c>
      <c r="J861">
        <f t="shared" si="54"/>
        <v>65787.12</v>
      </c>
      <c r="K861">
        <f t="shared" si="55"/>
        <v>14623.559999999994</v>
      </c>
      <c r="L861" t="s">
        <v>17</v>
      </c>
      <c r="M861" t="s">
        <v>31</v>
      </c>
      <c r="N861" t="s">
        <v>22</v>
      </c>
    </row>
    <row r="862" spans="1:14" x14ac:dyDescent="0.3">
      <c r="A862" s="1">
        <v>45244</v>
      </c>
      <c r="B862" s="1" t="str">
        <f t="shared" si="52"/>
        <v>Nov</v>
      </c>
      <c r="C862" s="1" t="str">
        <f t="shared" si="53"/>
        <v>2023</v>
      </c>
      <c r="D862" t="s">
        <v>33</v>
      </c>
      <c r="E862" t="s">
        <v>25</v>
      </c>
      <c r="F862" t="s">
        <v>16</v>
      </c>
      <c r="G862">
        <v>1074.93</v>
      </c>
      <c r="H862">
        <v>1492.48</v>
      </c>
      <c r="I862">
        <v>32</v>
      </c>
      <c r="J862">
        <f t="shared" si="54"/>
        <v>47759.360000000001</v>
      </c>
      <c r="K862">
        <f t="shared" si="55"/>
        <v>13361.599999999999</v>
      </c>
      <c r="L862" t="s">
        <v>17</v>
      </c>
      <c r="M862" t="s">
        <v>31</v>
      </c>
      <c r="N862" t="s">
        <v>22</v>
      </c>
    </row>
    <row r="863" spans="1:14" x14ac:dyDescent="0.3">
      <c r="A863" s="1">
        <v>45244</v>
      </c>
      <c r="B863" s="1" t="str">
        <f t="shared" si="52"/>
        <v>Nov</v>
      </c>
      <c r="C863" s="1" t="str">
        <f t="shared" si="53"/>
        <v>2023</v>
      </c>
      <c r="D863" t="s">
        <v>14</v>
      </c>
      <c r="E863" t="s">
        <v>34</v>
      </c>
      <c r="F863" t="s">
        <v>29</v>
      </c>
      <c r="G863">
        <v>60.28</v>
      </c>
      <c r="H863">
        <v>260.73</v>
      </c>
      <c r="I863">
        <v>1</v>
      </c>
      <c r="J863">
        <f t="shared" si="54"/>
        <v>260.73</v>
      </c>
      <c r="K863">
        <f t="shared" si="55"/>
        <v>200.45000000000002</v>
      </c>
      <c r="L863" t="s">
        <v>17</v>
      </c>
      <c r="M863" t="s">
        <v>18</v>
      </c>
      <c r="N863" t="s">
        <v>19</v>
      </c>
    </row>
    <row r="864" spans="1:14" x14ac:dyDescent="0.3">
      <c r="A864" s="1">
        <v>45244</v>
      </c>
      <c r="B864" s="1" t="str">
        <f t="shared" si="52"/>
        <v>Nov</v>
      </c>
      <c r="C864" s="1" t="str">
        <f t="shared" si="53"/>
        <v>2023</v>
      </c>
      <c r="D864" t="s">
        <v>38</v>
      </c>
      <c r="E864" t="s">
        <v>34</v>
      </c>
      <c r="F864" t="s">
        <v>29</v>
      </c>
      <c r="G864">
        <v>3936.69</v>
      </c>
      <c r="H864">
        <v>4362.51</v>
      </c>
      <c r="I864">
        <v>28</v>
      </c>
      <c r="J864">
        <f t="shared" si="54"/>
        <v>122150.28</v>
      </c>
      <c r="K864">
        <f t="shared" si="55"/>
        <v>11922.960000000005</v>
      </c>
      <c r="L864" t="s">
        <v>17</v>
      </c>
      <c r="M864" t="s">
        <v>31</v>
      </c>
      <c r="N864" t="s">
        <v>22</v>
      </c>
    </row>
    <row r="865" spans="1:14" x14ac:dyDescent="0.3">
      <c r="A865" s="1">
        <v>45245</v>
      </c>
      <c r="B865" s="1" t="str">
        <f t="shared" si="52"/>
        <v>Nov</v>
      </c>
      <c r="C865" s="1" t="str">
        <f t="shared" si="53"/>
        <v>2023</v>
      </c>
      <c r="D865" t="s">
        <v>38</v>
      </c>
      <c r="E865" t="s">
        <v>34</v>
      </c>
      <c r="F865" t="s">
        <v>29</v>
      </c>
      <c r="G865">
        <v>1370.52</v>
      </c>
      <c r="H865">
        <v>1482.58</v>
      </c>
      <c r="I865">
        <v>24</v>
      </c>
      <c r="J865">
        <f t="shared" si="54"/>
        <v>35581.919999999998</v>
      </c>
      <c r="K865">
        <f t="shared" si="55"/>
        <v>2689.4399999999987</v>
      </c>
      <c r="L865" t="s">
        <v>17</v>
      </c>
      <c r="M865" t="s">
        <v>31</v>
      </c>
      <c r="N865" t="s">
        <v>22</v>
      </c>
    </row>
    <row r="866" spans="1:14" x14ac:dyDescent="0.3">
      <c r="A866" s="1">
        <v>45245</v>
      </c>
      <c r="B866" s="1" t="str">
        <f t="shared" si="52"/>
        <v>Nov</v>
      </c>
      <c r="C866" s="1" t="str">
        <f t="shared" si="53"/>
        <v>2023</v>
      </c>
      <c r="D866" t="s">
        <v>42</v>
      </c>
      <c r="E866" t="s">
        <v>21</v>
      </c>
      <c r="F866" t="s">
        <v>26</v>
      </c>
      <c r="G866">
        <v>651</v>
      </c>
      <c r="H866">
        <v>865.76</v>
      </c>
      <c r="I866">
        <v>1</v>
      </c>
      <c r="J866">
        <f t="shared" si="54"/>
        <v>865.76</v>
      </c>
      <c r="K866">
        <f t="shared" si="55"/>
        <v>214.76</v>
      </c>
      <c r="L866" t="s">
        <v>17</v>
      </c>
      <c r="M866" t="s">
        <v>27</v>
      </c>
      <c r="N866" t="s">
        <v>22</v>
      </c>
    </row>
    <row r="867" spans="1:14" x14ac:dyDescent="0.3">
      <c r="A867" s="1">
        <v>45245</v>
      </c>
      <c r="B867" s="1" t="str">
        <f t="shared" si="52"/>
        <v>Nov</v>
      </c>
      <c r="C867" s="1" t="str">
        <f t="shared" si="53"/>
        <v>2023</v>
      </c>
      <c r="D867" t="s">
        <v>14</v>
      </c>
      <c r="E867" t="s">
        <v>21</v>
      </c>
      <c r="F867" t="s">
        <v>16</v>
      </c>
      <c r="G867">
        <v>2844.97</v>
      </c>
      <c r="H867">
        <v>3215</v>
      </c>
      <c r="I867">
        <v>19</v>
      </c>
      <c r="J867">
        <f t="shared" si="54"/>
        <v>61085</v>
      </c>
      <c r="K867">
        <f t="shared" si="55"/>
        <v>7030.5700000000033</v>
      </c>
      <c r="L867" t="s">
        <v>17</v>
      </c>
      <c r="M867" t="s">
        <v>31</v>
      </c>
      <c r="N867" t="s">
        <v>22</v>
      </c>
    </row>
    <row r="868" spans="1:14" x14ac:dyDescent="0.3">
      <c r="A868" s="1">
        <v>45245</v>
      </c>
      <c r="B868" s="1" t="str">
        <f t="shared" si="52"/>
        <v>Nov</v>
      </c>
      <c r="C868" s="1" t="str">
        <f t="shared" si="53"/>
        <v>2023</v>
      </c>
      <c r="D868" t="s">
        <v>42</v>
      </c>
      <c r="E868" t="s">
        <v>15</v>
      </c>
      <c r="F868" t="s">
        <v>35</v>
      </c>
      <c r="G868">
        <v>1676.42</v>
      </c>
      <c r="H868">
        <v>2082.52</v>
      </c>
      <c r="I868">
        <v>23</v>
      </c>
      <c r="J868">
        <f t="shared" si="54"/>
        <v>47897.96</v>
      </c>
      <c r="K868">
        <f t="shared" si="55"/>
        <v>9340.2999999999975</v>
      </c>
      <c r="L868" t="s">
        <v>30</v>
      </c>
      <c r="M868" t="s">
        <v>27</v>
      </c>
      <c r="N868" t="s">
        <v>22</v>
      </c>
    </row>
    <row r="869" spans="1:14" x14ac:dyDescent="0.3">
      <c r="A869" s="1">
        <v>45245</v>
      </c>
      <c r="B869" s="1" t="str">
        <f t="shared" si="52"/>
        <v>Nov</v>
      </c>
      <c r="C869" s="1" t="str">
        <f t="shared" si="53"/>
        <v>2023</v>
      </c>
      <c r="D869" t="s">
        <v>24</v>
      </c>
      <c r="E869" t="s">
        <v>34</v>
      </c>
      <c r="F869" t="s">
        <v>35</v>
      </c>
      <c r="G869">
        <v>3034.32</v>
      </c>
      <c r="H869">
        <v>3375.79</v>
      </c>
      <c r="I869">
        <v>47</v>
      </c>
      <c r="J869">
        <f t="shared" si="54"/>
        <v>158662.13</v>
      </c>
      <c r="K869">
        <f t="shared" si="55"/>
        <v>16049.089999999991</v>
      </c>
      <c r="L869" t="s">
        <v>30</v>
      </c>
      <c r="M869" t="s">
        <v>31</v>
      </c>
      <c r="N869" t="s">
        <v>19</v>
      </c>
    </row>
    <row r="870" spans="1:14" x14ac:dyDescent="0.3">
      <c r="A870" s="1">
        <v>45245</v>
      </c>
      <c r="B870" s="1" t="str">
        <f t="shared" si="52"/>
        <v>Nov</v>
      </c>
      <c r="C870" s="1" t="str">
        <f t="shared" si="53"/>
        <v>2023</v>
      </c>
      <c r="D870" t="s">
        <v>38</v>
      </c>
      <c r="E870" t="s">
        <v>34</v>
      </c>
      <c r="F870" t="s">
        <v>16</v>
      </c>
      <c r="G870">
        <v>1036.76</v>
      </c>
      <c r="H870">
        <v>1189.3499999999999</v>
      </c>
      <c r="I870">
        <v>2</v>
      </c>
      <c r="J870">
        <f t="shared" si="54"/>
        <v>2378.6999999999998</v>
      </c>
      <c r="K870">
        <f t="shared" si="55"/>
        <v>305.17999999999984</v>
      </c>
      <c r="L870" t="s">
        <v>30</v>
      </c>
      <c r="M870" t="s">
        <v>27</v>
      </c>
      <c r="N870" t="s">
        <v>19</v>
      </c>
    </row>
    <row r="871" spans="1:14" x14ac:dyDescent="0.3">
      <c r="A871" s="1">
        <v>45246</v>
      </c>
      <c r="B871" s="1" t="str">
        <f t="shared" si="52"/>
        <v>Nov</v>
      </c>
      <c r="C871" s="1" t="str">
        <f t="shared" si="53"/>
        <v>2023</v>
      </c>
      <c r="D871" t="s">
        <v>38</v>
      </c>
      <c r="E871" t="s">
        <v>34</v>
      </c>
      <c r="F871" t="s">
        <v>16</v>
      </c>
      <c r="G871">
        <v>2928.74</v>
      </c>
      <c r="H871">
        <v>3027.74</v>
      </c>
      <c r="I871">
        <v>1</v>
      </c>
      <c r="J871">
        <f t="shared" si="54"/>
        <v>3027.74</v>
      </c>
      <c r="K871">
        <f t="shared" si="55"/>
        <v>99</v>
      </c>
      <c r="L871" t="s">
        <v>30</v>
      </c>
      <c r="M871" t="s">
        <v>27</v>
      </c>
      <c r="N871" t="s">
        <v>22</v>
      </c>
    </row>
    <row r="872" spans="1:14" x14ac:dyDescent="0.3">
      <c r="A872" s="1">
        <v>45246</v>
      </c>
      <c r="B872" s="1" t="str">
        <f t="shared" si="52"/>
        <v>Nov</v>
      </c>
      <c r="C872" s="1" t="str">
        <f t="shared" si="53"/>
        <v>2023</v>
      </c>
      <c r="D872" t="s">
        <v>24</v>
      </c>
      <c r="E872" t="s">
        <v>25</v>
      </c>
      <c r="F872" t="s">
        <v>26</v>
      </c>
      <c r="G872">
        <v>601.86</v>
      </c>
      <c r="H872">
        <v>1067.53</v>
      </c>
      <c r="I872">
        <v>40</v>
      </c>
      <c r="J872">
        <f t="shared" si="54"/>
        <v>42701.2</v>
      </c>
      <c r="K872">
        <f t="shared" si="55"/>
        <v>18626.8</v>
      </c>
      <c r="L872" t="s">
        <v>30</v>
      </c>
      <c r="M872" t="s">
        <v>18</v>
      </c>
      <c r="N872" t="s">
        <v>19</v>
      </c>
    </row>
    <row r="873" spans="1:14" x14ac:dyDescent="0.3">
      <c r="A873" s="1">
        <v>45246</v>
      </c>
      <c r="B873" s="1" t="str">
        <f t="shared" si="52"/>
        <v>Nov</v>
      </c>
      <c r="C873" s="1" t="str">
        <f t="shared" si="53"/>
        <v>2023</v>
      </c>
      <c r="D873" t="s">
        <v>14</v>
      </c>
      <c r="E873" t="s">
        <v>21</v>
      </c>
      <c r="F873" t="s">
        <v>16</v>
      </c>
      <c r="G873">
        <v>144.88</v>
      </c>
      <c r="H873">
        <v>175.29</v>
      </c>
      <c r="I873">
        <v>31</v>
      </c>
      <c r="J873">
        <f t="shared" si="54"/>
        <v>5433.99</v>
      </c>
      <c r="K873">
        <f t="shared" si="55"/>
        <v>942.70999999999992</v>
      </c>
      <c r="L873" t="s">
        <v>30</v>
      </c>
      <c r="M873" t="s">
        <v>27</v>
      </c>
      <c r="N873" t="s">
        <v>19</v>
      </c>
    </row>
    <row r="874" spans="1:14" x14ac:dyDescent="0.3">
      <c r="A874" s="1">
        <v>45246</v>
      </c>
      <c r="B874" s="1" t="str">
        <f t="shared" si="52"/>
        <v>Nov</v>
      </c>
      <c r="C874" s="1" t="str">
        <f t="shared" si="53"/>
        <v>2023</v>
      </c>
      <c r="D874" t="s">
        <v>24</v>
      </c>
      <c r="E874" t="s">
        <v>25</v>
      </c>
      <c r="F874" t="s">
        <v>29</v>
      </c>
      <c r="G874">
        <v>2658.9</v>
      </c>
      <c r="H874">
        <v>2838.27</v>
      </c>
      <c r="I874">
        <v>48</v>
      </c>
      <c r="J874">
        <f t="shared" si="54"/>
        <v>136236.96</v>
      </c>
      <c r="K874">
        <f t="shared" si="55"/>
        <v>8609.7599999999948</v>
      </c>
      <c r="L874" t="s">
        <v>30</v>
      </c>
      <c r="M874" t="s">
        <v>31</v>
      </c>
      <c r="N874" t="s">
        <v>19</v>
      </c>
    </row>
    <row r="875" spans="1:14" x14ac:dyDescent="0.3">
      <c r="A875" s="1">
        <v>45246</v>
      </c>
      <c r="B875" s="1" t="str">
        <f t="shared" si="52"/>
        <v>Nov</v>
      </c>
      <c r="C875" s="1" t="str">
        <f t="shared" si="53"/>
        <v>2023</v>
      </c>
      <c r="D875" t="s">
        <v>24</v>
      </c>
      <c r="E875" t="s">
        <v>34</v>
      </c>
      <c r="F875" t="s">
        <v>16</v>
      </c>
      <c r="G875">
        <v>3459.61</v>
      </c>
      <c r="H875">
        <v>3657.23</v>
      </c>
      <c r="I875">
        <v>8</v>
      </c>
      <c r="J875">
        <f t="shared" si="54"/>
        <v>29257.84</v>
      </c>
      <c r="K875">
        <f t="shared" si="55"/>
        <v>1580.9599999999991</v>
      </c>
      <c r="L875" t="s">
        <v>17</v>
      </c>
      <c r="M875" t="s">
        <v>27</v>
      </c>
      <c r="N875" t="s">
        <v>19</v>
      </c>
    </row>
    <row r="876" spans="1:14" x14ac:dyDescent="0.3">
      <c r="A876" s="1">
        <v>45246</v>
      </c>
      <c r="B876" s="1" t="str">
        <f t="shared" si="52"/>
        <v>Nov</v>
      </c>
      <c r="C876" s="1" t="str">
        <f t="shared" si="53"/>
        <v>2023</v>
      </c>
      <c r="D876" t="s">
        <v>38</v>
      </c>
      <c r="E876" t="s">
        <v>15</v>
      </c>
      <c r="F876" t="s">
        <v>16</v>
      </c>
      <c r="G876">
        <v>2440.11</v>
      </c>
      <c r="H876">
        <v>2517.6</v>
      </c>
      <c r="I876">
        <v>13</v>
      </c>
      <c r="J876">
        <f t="shared" si="54"/>
        <v>32728.799999999999</v>
      </c>
      <c r="K876">
        <f t="shared" si="55"/>
        <v>1007.3699999999972</v>
      </c>
      <c r="L876" t="s">
        <v>30</v>
      </c>
      <c r="M876" t="s">
        <v>27</v>
      </c>
      <c r="N876" t="s">
        <v>22</v>
      </c>
    </row>
    <row r="877" spans="1:14" x14ac:dyDescent="0.3">
      <c r="A877" s="1">
        <v>45247</v>
      </c>
      <c r="B877" s="1" t="str">
        <f t="shared" si="52"/>
        <v>Nov</v>
      </c>
      <c r="C877" s="1" t="str">
        <f t="shared" si="53"/>
        <v>2023</v>
      </c>
      <c r="D877" t="s">
        <v>33</v>
      </c>
      <c r="E877" t="s">
        <v>15</v>
      </c>
      <c r="F877" t="s">
        <v>29</v>
      </c>
      <c r="G877">
        <v>2094.88</v>
      </c>
      <c r="H877">
        <v>2168.91</v>
      </c>
      <c r="I877">
        <v>28</v>
      </c>
      <c r="J877">
        <f t="shared" si="54"/>
        <v>60729.479999999996</v>
      </c>
      <c r="K877">
        <f t="shared" si="55"/>
        <v>2072.8399999999929</v>
      </c>
      <c r="L877" t="s">
        <v>17</v>
      </c>
      <c r="M877" t="s">
        <v>18</v>
      </c>
      <c r="N877" t="s">
        <v>22</v>
      </c>
    </row>
    <row r="878" spans="1:14" x14ac:dyDescent="0.3">
      <c r="A878" s="1">
        <v>45247</v>
      </c>
      <c r="B878" s="1" t="str">
        <f t="shared" si="52"/>
        <v>Nov</v>
      </c>
      <c r="C878" s="1" t="str">
        <f t="shared" si="53"/>
        <v>2023</v>
      </c>
      <c r="D878" t="s">
        <v>14</v>
      </c>
      <c r="E878" t="s">
        <v>34</v>
      </c>
      <c r="F878" t="s">
        <v>26</v>
      </c>
      <c r="G878">
        <v>366.2</v>
      </c>
      <c r="H878">
        <v>732.69</v>
      </c>
      <c r="I878">
        <v>13</v>
      </c>
      <c r="J878">
        <f t="shared" si="54"/>
        <v>9524.9700000000012</v>
      </c>
      <c r="K878">
        <f t="shared" si="55"/>
        <v>4764.3700000000008</v>
      </c>
      <c r="L878" t="s">
        <v>30</v>
      </c>
      <c r="M878" t="s">
        <v>18</v>
      </c>
      <c r="N878" t="s">
        <v>22</v>
      </c>
    </row>
    <row r="879" spans="1:14" x14ac:dyDescent="0.3">
      <c r="A879" s="1">
        <v>45248</v>
      </c>
      <c r="B879" s="1" t="str">
        <f t="shared" si="52"/>
        <v>Nov</v>
      </c>
      <c r="C879" s="1" t="str">
        <f t="shared" si="53"/>
        <v>2023</v>
      </c>
      <c r="D879" t="s">
        <v>42</v>
      </c>
      <c r="E879" t="s">
        <v>34</v>
      </c>
      <c r="F879" t="s">
        <v>26</v>
      </c>
      <c r="G879">
        <v>182.99</v>
      </c>
      <c r="H879">
        <v>211.18</v>
      </c>
      <c r="I879">
        <v>1</v>
      </c>
      <c r="J879">
        <f t="shared" si="54"/>
        <v>211.18</v>
      </c>
      <c r="K879">
        <f t="shared" si="55"/>
        <v>28.189999999999998</v>
      </c>
      <c r="L879" t="s">
        <v>17</v>
      </c>
      <c r="M879" t="s">
        <v>27</v>
      </c>
      <c r="N879" t="s">
        <v>22</v>
      </c>
    </row>
    <row r="880" spans="1:14" x14ac:dyDescent="0.3">
      <c r="A880" s="1">
        <v>45248</v>
      </c>
      <c r="B880" s="1" t="str">
        <f t="shared" si="52"/>
        <v>Nov</v>
      </c>
      <c r="C880" s="1" t="str">
        <f t="shared" si="53"/>
        <v>2023</v>
      </c>
      <c r="D880" t="s">
        <v>42</v>
      </c>
      <c r="E880" t="s">
        <v>34</v>
      </c>
      <c r="F880" t="s">
        <v>16</v>
      </c>
      <c r="G880">
        <v>1088.99</v>
      </c>
      <c r="H880">
        <v>1545</v>
      </c>
      <c r="I880">
        <v>12</v>
      </c>
      <c r="J880">
        <f t="shared" si="54"/>
        <v>18540</v>
      </c>
      <c r="K880">
        <f t="shared" si="55"/>
        <v>5472.12</v>
      </c>
      <c r="L880" t="s">
        <v>17</v>
      </c>
      <c r="M880" t="s">
        <v>27</v>
      </c>
      <c r="N880" t="s">
        <v>22</v>
      </c>
    </row>
    <row r="881" spans="1:14" x14ac:dyDescent="0.3">
      <c r="A881" s="1">
        <v>45249</v>
      </c>
      <c r="B881" s="1" t="str">
        <f t="shared" si="52"/>
        <v>Nov</v>
      </c>
      <c r="C881" s="1" t="str">
        <f t="shared" si="53"/>
        <v>2023</v>
      </c>
      <c r="D881" t="s">
        <v>24</v>
      </c>
      <c r="E881" t="s">
        <v>15</v>
      </c>
      <c r="F881" t="s">
        <v>35</v>
      </c>
      <c r="G881">
        <v>2600.7600000000002</v>
      </c>
      <c r="H881">
        <v>2937.57</v>
      </c>
      <c r="I881">
        <v>37</v>
      </c>
      <c r="J881">
        <f t="shared" si="54"/>
        <v>108690.09000000001</v>
      </c>
      <c r="K881">
        <f t="shared" si="55"/>
        <v>12461.969999999998</v>
      </c>
      <c r="L881" t="s">
        <v>30</v>
      </c>
      <c r="M881" t="s">
        <v>31</v>
      </c>
      <c r="N881" t="s">
        <v>22</v>
      </c>
    </row>
    <row r="882" spans="1:14" x14ac:dyDescent="0.3">
      <c r="A882" s="1">
        <v>45249</v>
      </c>
      <c r="B882" s="1" t="str">
        <f t="shared" si="52"/>
        <v>Nov</v>
      </c>
      <c r="C882" s="1" t="str">
        <f t="shared" si="53"/>
        <v>2023</v>
      </c>
      <c r="D882" t="s">
        <v>24</v>
      </c>
      <c r="E882" t="s">
        <v>15</v>
      </c>
      <c r="F882" t="s">
        <v>35</v>
      </c>
      <c r="G882">
        <v>2189.54</v>
      </c>
      <c r="H882">
        <v>2617</v>
      </c>
      <c r="I882">
        <v>47</v>
      </c>
      <c r="J882">
        <f t="shared" si="54"/>
        <v>122999</v>
      </c>
      <c r="K882">
        <f t="shared" si="55"/>
        <v>20090.620000000003</v>
      </c>
      <c r="L882" t="s">
        <v>30</v>
      </c>
      <c r="M882" t="s">
        <v>27</v>
      </c>
      <c r="N882" t="s">
        <v>19</v>
      </c>
    </row>
    <row r="883" spans="1:14" x14ac:dyDescent="0.3">
      <c r="A883" s="1">
        <v>45249</v>
      </c>
      <c r="B883" s="1" t="str">
        <f t="shared" si="52"/>
        <v>Nov</v>
      </c>
      <c r="C883" s="1" t="str">
        <f t="shared" si="53"/>
        <v>2023</v>
      </c>
      <c r="D883" t="s">
        <v>14</v>
      </c>
      <c r="E883" t="s">
        <v>15</v>
      </c>
      <c r="F883" t="s">
        <v>35</v>
      </c>
      <c r="G883">
        <v>912.08</v>
      </c>
      <c r="H883">
        <v>993.24</v>
      </c>
      <c r="I883">
        <v>2</v>
      </c>
      <c r="J883">
        <f t="shared" si="54"/>
        <v>1986.48</v>
      </c>
      <c r="K883">
        <f t="shared" si="55"/>
        <v>162.31999999999994</v>
      </c>
      <c r="L883" t="s">
        <v>17</v>
      </c>
      <c r="M883" t="s">
        <v>31</v>
      </c>
      <c r="N883" t="s">
        <v>19</v>
      </c>
    </row>
    <row r="884" spans="1:14" x14ac:dyDescent="0.3">
      <c r="A884" s="1">
        <v>45250</v>
      </c>
      <c r="B884" s="1" t="str">
        <f t="shared" si="52"/>
        <v>Nov</v>
      </c>
      <c r="C884" s="1" t="str">
        <f t="shared" si="53"/>
        <v>2023</v>
      </c>
      <c r="D884" t="s">
        <v>14</v>
      </c>
      <c r="E884" t="s">
        <v>15</v>
      </c>
      <c r="F884" t="s">
        <v>26</v>
      </c>
      <c r="G884">
        <v>4190.83</v>
      </c>
      <c r="H884">
        <v>4528.7699999999904</v>
      </c>
      <c r="I884">
        <v>1</v>
      </c>
      <c r="J884">
        <f t="shared" si="54"/>
        <v>4528.7699999999904</v>
      </c>
      <c r="K884">
        <f t="shared" si="55"/>
        <v>337.9399999999905</v>
      </c>
      <c r="L884" t="s">
        <v>17</v>
      </c>
      <c r="M884" t="s">
        <v>27</v>
      </c>
      <c r="N884" t="s">
        <v>19</v>
      </c>
    </row>
    <row r="885" spans="1:14" x14ac:dyDescent="0.3">
      <c r="A885" s="1">
        <v>45250</v>
      </c>
      <c r="B885" s="1" t="str">
        <f t="shared" si="52"/>
        <v>Nov</v>
      </c>
      <c r="C885" s="1" t="str">
        <f t="shared" si="53"/>
        <v>2023</v>
      </c>
      <c r="D885" t="s">
        <v>42</v>
      </c>
      <c r="E885" t="s">
        <v>34</v>
      </c>
      <c r="F885" t="s">
        <v>26</v>
      </c>
      <c r="G885">
        <v>734.92</v>
      </c>
      <c r="H885">
        <v>991.21</v>
      </c>
      <c r="I885">
        <v>5</v>
      </c>
      <c r="J885">
        <f t="shared" si="54"/>
        <v>4956.05</v>
      </c>
      <c r="K885">
        <f t="shared" si="55"/>
        <v>1281.4500000000003</v>
      </c>
      <c r="L885" t="s">
        <v>17</v>
      </c>
      <c r="M885" t="s">
        <v>31</v>
      </c>
      <c r="N885" t="s">
        <v>19</v>
      </c>
    </row>
    <row r="886" spans="1:14" x14ac:dyDescent="0.3">
      <c r="A886" s="1">
        <v>45250</v>
      </c>
      <c r="B886" s="1" t="str">
        <f t="shared" si="52"/>
        <v>Nov</v>
      </c>
      <c r="C886" s="1" t="str">
        <f t="shared" si="53"/>
        <v>2023</v>
      </c>
      <c r="D886" t="s">
        <v>42</v>
      </c>
      <c r="E886" t="s">
        <v>34</v>
      </c>
      <c r="F886" t="s">
        <v>29</v>
      </c>
      <c r="G886">
        <v>700.49</v>
      </c>
      <c r="H886">
        <v>1126.52</v>
      </c>
      <c r="I886">
        <v>32</v>
      </c>
      <c r="J886">
        <f t="shared" si="54"/>
        <v>36048.639999999999</v>
      </c>
      <c r="K886">
        <f t="shared" si="55"/>
        <v>13632.96</v>
      </c>
      <c r="L886" t="s">
        <v>30</v>
      </c>
      <c r="M886" t="s">
        <v>31</v>
      </c>
      <c r="N886" t="s">
        <v>22</v>
      </c>
    </row>
    <row r="887" spans="1:14" x14ac:dyDescent="0.3">
      <c r="A887" s="1">
        <v>45250</v>
      </c>
      <c r="B887" s="1" t="str">
        <f t="shared" si="52"/>
        <v>Nov</v>
      </c>
      <c r="C887" s="1" t="str">
        <f t="shared" si="53"/>
        <v>2023</v>
      </c>
      <c r="D887" t="s">
        <v>14</v>
      </c>
      <c r="E887" t="s">
        <v>25</v>
      </c>
      <c r="F887" t="s">
        <v>16</v>
      </c>
      <c r="G887">
        <v>3420.72</v>
      </c>
      <c r="H887">
        <v>3513.74</v>
      </c>
      <c r="I887">
        <v>15</v>
      </c>
      <c r="J887">
        <f t="shared" si="54"/>
        <v>52706.1</v>
      </c>
      <c r="K887">
        <f t="shared" si="55"/>
        <v>1395.2999999999997</v>
      </c>
      <c r="L887" t="s">
        <v>30</v>
      </c>
      <c r="M887" t="s">
        <v>18</v>
      </c>
      <c r="N887" t="s">
        <v>19</v>
      </c>
    </row>
    <row r="888" spans="1:14" x14ac:dyDescent="0.3">
      <c r="A888" s="1">
        <v>45250</v>
      </c>
      <c r="B888" s="1" t="str">
        <f t="shared" si="52"/>
        <v>Nov</v>
      </c>
      <c r="C888" s="1" t="str">
        <f t="shared" si="53"/>
        <v>2023</v>
      </c>
      <c r="D888" t="s">
        <v>42</v>
      </c>
      <c r="E888" t="s">
        <v>21</v>
      </c>
      <c r="F888" t="s">
        <v>35</v>
      </c>
      <c r="G888">
        <v>2678.99</v>
      </c>
      <c r="H888">
        <v>3152.2799999999902</v>
      </c>
      <c r="I888">
        <v>32</v>
      </c>
      <c r="J888">
        <f t="shared" si="54"/>
        <v>100872.95999999969</v>
      </c>
      <c r="K888">
        <f t="shared" si="55"/>
        <v>15145.279999999693</v>
      </c>
      <c r="L888" t="s">
        <v>17</v>
      </c>
      <c r="M888" t="s">
        <v>18</v>
      </c>
      <c r="N888" t="s">
        <v>22</v>
      </c>
    </row>
    <row r="889" spans="1:14" x14ac:dyDescent="0.3">
      <c r="A889" s="1">
        <v>45252</v>
      </c>
      <c r="B889" s="1" t="str">
        <f t="shared" si="52"/>
        <v>Nov</v>
      </c>
      <c r="C889" s="1" t="str">
        <f t="shared" si="53"/>
        <v>2023</v>
      </c>
      <c r="D889" t="s">
        <v>24</v>
      </c>
      <c r="E889" t="s">
        <v>21</v>
      </c>
      <c r="F889" t="s">
        <v>26</v>
      </c>
      <c r="G889">
        <v>3184.65</v>
      </c>
      <c r="H889">
        <v>3204.01</v>
      </c>
      <c r="I889">
        <v>17</v>
      </c>
      <c r="J889">
        <f t="shared" si="54"/>
        <v>54468.170000000006</v>
      </c>
      <c r="K889">
        <f t="shared" si="55"/>
        <v>329.12000000000216</v>
      </c>
      <c r="L889" t="s">
        <v>30</v>
      </c>
      <c r="M889" t="s">
        <v>27</v>
      </c>
      <c r="N889" t="s">
        <v>19</v>
      </c>
    </row>
    <row r="890" spans="1:14" x14ac:dyDescent="0.3">
      <c r="A890" s="1">
        <v>45252</v>
      </c>
      <c r="B890" s="1" t="str">
        <f t="shared" si="52"/>
        <v>Nov</v>
      </c>
      <c r="C890" s="1" t="str">
        <f t="shared" si="53"/>
        <v>2023</v>
      </c>
      <c r="D890" t="s">
        <v>42</v>
      </c>
      <c r="E890" t="s">
        <v>21</v>
      </c>
      <c r="F890" t="s">
        <v>29</v>
      </c>
      <c r="G890">
        <v>894.48</v>
      </c>
      <c r="H890">
        <v>1336.37</v>
      </c>
      <c r="I890">
        <v>15</v>
      </c>
      <c r="J890">
        <f t="shared" si="54"/>
        <v>20045.55</v>
      </c>
      <c r="K890">
        <f t="shared" si="55"/>
        <v>6628.3499999999985</v>
      </c>
      <c r="L890" t="s">
        <v>17</v>
      </c>
      <c r="M890" t="s">
        <v>18</v>
      </c>
      <c r="N890" t="s">
        <v>22</v>
      </c>
    </row>
    <row r="891" spans="1:14" x14ac:dyDescent="0.3">
      <c r="A891" s="1">
        <v>45252</v>
      </c>
      <c r="B891" s="1" t="str">
        <f t="shared" si="52"/>
        <v>Nov</v>
      </c>
      <c r="C891" s="1" t="str">
        <f t="shared" si="53"/>
        <v>2023</v>
      </c>
      <c r="D891" t="s">
        <v>33</v>
      </c>
      <c r="E891" t="s">
        <v>15</v>
      </c>
      <c r="F891" t="s">
        <v>16</v>
      </c>
      <c r="G891">
        <v>3285.25</v>
      </c>
      <c r="H891">
        <v>3634.58</v>
      </c>
      <c r="I891">
        <v>22</v>
      </c>
      <c r="J891">
        <f t="shared" si="54"/>
        <v>79960.759999999995</v>
      </c>
      <c r="K891">
        <f t="shared" si="55"/>
        <v>7685.2599999999984</v>
      </c>
      <c r="L891" t="s">
        <v>30</v>
      </c>
      <c r="M891" t="s">
        <v>27</v>
      </c>
      <c r="N891" t="s">
        <v>19</v>
      </c>
    </row>
    <row r="892" spans="1:14" x14ac:dyDescent="0.3">
      <c r="A892" s="1">
        <v>45253</v>
      </c>
      <c r="B892" s="1" t="str">
        <f t="shared" si="52"/>
        <v>Nov</v>
      </c>
      <c r="C892" s="1" t="str">
        <f t="shared" si="53"/>
        <v>2023</v>
      </c>
      <c r="D892" t="s">
        <v>38</v>
      </c>
      <c r="E892" t="s">
        <v>34</v>
      </c>
      <c r="F892" t="s">
        <v>29</v>
      </c>
      <c r="G892">
        <v>4906.8500000000004</v>
      </c>
      <c r="H892">
        <v>4954.3900000000003</v>
      </c>
      <c r="I892">
        <v>26</v>
      </c>
      <c r="J892">
        <f t="shared" si="54"/>
        <v>128814.14000000001</v>
      </c>
      <c r="K892">
        <f t="shared" si="55"/>
        <v>1236.0399999999991</v>
      </c>
      <c r="L892" t="s">
        <v>30</v>
      </c>
      <c r="M892" t="s">
        <v>27</v>
      </c>
      <c r="N892" t="s">
        <v>19</v>
      </c>
    </row>
    <row r="893" spans="1:14" x14ac:dyDescent="0.3">
      <c r="A893" s="1">
        <v>45254</v>
      </c>
      <c r="B893" s="1" t="str">
        <f t="shared" si="52"/>
        <v>Nov</v>
      </c>
      <c r="C893" s="1" t="str">
        <f t="shared" si="53"/>
        <v>2023</v>
      </c>
      <c r="D893" t="s">
        <v>38</v>
      </c>
      <c r="E893" t="s">
        <v>34</v>
      </c>
      <c r="F893" t="s">
        <v>26</v>
      </c>
      <c r="G893">
        <v>3706.78</v>
      </c>
      <c r="H893">
        <v>3862.26</v>
      </c>
      <c r="I893">
        <v>11</v>
      </c>
      <c r="J893">
        <f t="shared" si="54"/>
        <v>42484.86</v>
      </c>
      <c r="K893">
        <f t="shared" si="55"/>
        <v>1710.2800000000002</v>
      </c>
      <c r="L893" t="s">
        <v>30</v>
      </c>
      <c r="M893" t="s">
        <v>31</v>
      </c>
      <c r="N893" t="s">
        <v>22</v>
      </c>
    </row>
    <row r="894" spans="1:14" x14ac:dyDescent="0.3">
      <c r="A894" s="1">
        <v>45254</v>
      </c>
      <c r="B894" s="1" t="str">
        <f t="shared" si="52"/>
        <v>Nov</v>
      </c>
      <c r="C894" s="1" t="str">
        <f t="shared" si="53"/>
        <v>2023</v>
      </c>
      <c r="D894" t="s">
        <v>38</v>
      </c>
      <c r="E894" t="s">
        <v>15</v>
      </c>
      <c r="F894" t="s">
        <v>26</v>
      </c>
      <c r="G894">
        <v>3771.27</v>
      </c>
      <c r="H894">
        <v>4212.55</v>
      </c>
      <c r="I894">
        <v>15</v>
      </c>
      <c r="J894">
        <f t="shared" si="54"/>
        <v>63188.25</v>
      </c>
      <c r="K894">
        <f t="shared" si="55"/>
        <v>6619.2000000000025</v>
      </c>
      <c r="L894" t="s">
        <v>17</v>
      </c>
      <c r="M894" t="s">
        <v>31</v>
      </c>
      <c r="N894" t="s">
        <v>22</v>
      </c>
    </row>
    <row r="895" spans="1:14" x14ac:dyDescent="0.3">
      <c r="A895" s="1">
        <v>45254</v>
      </c>
      <c r="B895" s="1" t="str">
        <f t="shared" si="52"/>
        <v>Nov</v>
      </c>
      <c r="C895" s="1" t="str">
        <f t="shared" si="53"/>
        <v>2023</v>
      </c>
      <c r="D895" t="s">
        <v>38</v>
      </c>
      <c r="E895" t="s">
        <v>21</v>
      </c>
      <c r="F895" t="s">
        <v>16</v>
      </c>
      <c r="G895">
        <v>479.58</v>
      </c>
      <c r="H895">
        <v>909.88</v>
      </c>
      <c r="I895">
        <v>29</v>
      </c>
      <c r="J895">
        <f t="shared" si="54"/>
        <v>26386.52</v>
      </c>
      <c r="K895">
        <f t="shared" si="55"/>
        <v>12478.7</v>
      </c>
      <c r="L895" t="s">
        <v>17</v>
      </c>
      <c r="M895" t="s">
        <v>31</v>
      </c>
      <c r="N895" t="s">
        <v>22</v>
      </c>
    </row>
    <row r="896" spans="1:14" x14ac:dyDescent="0.3">
      <c r="A896" s="1">
        <v>45254</v>
      </c>
      <c r="B896" s="1" t="str">
        <f t="shared" si="52"/>
        <v>Nov</v>
      </c>
      <c r="C896" s="1" t="str">
        <f t="shared" si="53"/>
        <v>2023</v>
      </c>
      <c r="D896" t="s">
        <v>42</v>
      </c>
      <c r="E896" t="s">
        <v>25</v>
      </c>
      <c r="F896" t="s">
        <v>26</v>
      </c>
      <c r="G896">
        <v>4691.32</v>
      </c>
      <c r="H896">
        <v>4752.88</v>
      </c>
      <c r="I896">
        <v>22</v>
      </c>
      <c r="J896">
        <f t="shared" si="54"/>
        <v>104563.36</v>
      </c>
      <c r="K896">
        <f t="shared" si="55"/>
        <v>1354.3200000000088</v>
      </c>
      <c r="L896" t="s">
        <v>17</v>
      </c>
      <c r="M896" t="s">
        <v>27</v>
      </c>
      <c r="N896" t="s">
        <v>22</v>
      </c>
    </row>
    <row r="897" spans="1:14" x14ac:dyDescent="0.3">
      <c r="A897" s="1">
        <v>45254</v>
      </c>
      <c r="B897" s="1" t="str">
        <f t="shared" si="52"/>
        <v>Nov</v>
      </c>
      <c r="C897" s="1" t="str">
        <f t="shared" si="53"/>
        <v>2023</v>
      </c>
      <c r="D897" t="s">
        <v>14</v>
      </c>
      <c r="E897" t="s">
        <v>34</v>
      </c>
      <c r="F897" t="s">
        <v>26</v>
      </c>
      <c r="G897">
        <v>1239.0899999999999</v>
      </c>
      <c r="H897">
        <v>1273.98</v>
      </c>
      <c r="I897">
        <v>18</v>
      </c>
      <c r="J897">
        <f t="shared" si="54"/>
        <v>22931.64</v>
      </c>
      <c r="K897">
        <f t="shared" si="55"/>
        <v>628.0200000000018</v>
      </c>
      <c r="L897" t="s">
        <v>30</v>
      </c>
      <c r="M897" t="s">
        <v>27</v>
      </c>
      <c r="N897" t="s">
        <v>22</v>
      </c>
    </row>
    <row r="898" spans="1:14" x14ac:dyDescent="0.3">
      <c r="A898" s="1">
        <v>45254</v>
      </c>
      <c r="B898" s="1" t="str">
        <f t="shared" ref="B898:B961" si="56">TEXT(A898,"MMM")</f>
        <v>Nov</v>
      </c>
      <c r="C898" s="1" t="str">
        <f t="shared" ref="C898:C961" si="57">TEXT(A898,"YYYY")</f>
        <v>2023</v>
      </c>
      <c r="D898" t="s">
        <v>42</v>
      </c>
      <c r="E898" t="s">
        <v>21</v>
      </c>
      <c r="F898" t="s">
        <v>26</v>
      </c>
      <c r="G898">
        <v>4317.95</v>
      </c>
      <c r="H898">
        <v>4636.59</v>
      </c>
      <c r="I898">
        <v>12</v>
      </c>
      <c r="J898">
        <f t="shared" ref="J898:J961" si="58">(I898*H898)</f>
        <v>55639.08</v>
      </c>
      <c r="K898">
        <f t="shared" ref="K898:K961" si="59">(H898-G898)*I898</f>
        <v>3823.6800000000039</v>
      </c>
      <c r="L898" t="s">
        <v>30</v>
      </c>
      <c r="M898" t="s">
        <v>31</v>
      </c>
      <c r="N898" t="s">
        <v>22</v>
      </c>
    </row>
    <row r="899" spans="1:14" x14ac:dyDescent="0.3">
      <c r="A899" s="1">
        <v>45254</v>
      </c>
      <c r="B899" s="1" t="str">
        <f t="shared" si="56"/>
        <v>Nov</v>
      </c>
      <c r="C899" s="1" t="str">
        <f t="shared" si="57"/>
        <v>2023</v>
      </c>
      <c r="D899" t="s">
        <v>42</v>
      </c>
      <c r="E899" t="s">
        <v>34</v>
      </c>
      <c r="F899" t="s">
        <v>29</v>
      </c>
      <c r="G899">
        <v>481.19</v>
      </c>
      <c r="H899">
        <v>693.4</v>
      </c>
      <c r="I899">
        <v>25</v>
      </c>
      <c r="J899">
        <f t="shared" si="58"/>
        <v>17335</v>
      </c>
      <c r="K899">
        <f t="shared" si="59"/>
        <v>5305.2499999999991</v>
      </c>
      <c r="L899" t="s">
        <v>30</v>
      </c>
      <c r="M899" t="s">
        <v>31</v>
      </c>
      <c r="N899" t="s">
        <v>22</v>
      </c>
    </row>
    <row r="900" spans="1:14" x14ac:dyDescent="0.3">
      <c r="A900" s="1">
        <v>45255</v>
      </c>
      <c r="B900" s="1" t="str">
        <f t="shared" si="56"/>
        <v>Nov</v>
      </c>
      <c r="C900" s="1" t="str">
        <f t="shared" si="57"/>
        <v>2023</v>
      </c>
      <c r="D900" t="s">
        <v>38</v>
      </c>
      <c r="E900" t="s">
        <v>15</v>
      </c>
      <c r="F900" t="s">
        <v>16</v>
      </c>
      <c r="G900">
        <v>2120.81</v>
      </c>
      <c r="H900">
        <v>2611.94</v>
      </c>
      <c r="I900">
        <v>42</v>
      </c>
      <c r="J900">
        <f t="shared" si="58"/>
        <v>109701.48</v>
      </c>
      <c r="K900">
        <f t="shared" si="59"/>
        <v>20627.460000000006</v>
      </c>
      <c r="L900" t="s">
        <v>17</v>
      </c>
      <c r="M900" t="s">
        <v>18</v>
      </c>
      <c r="N900" t="s">
        <v>19</v>
      </c>
    </row>
    <row r="901" spans="1:14" x14ac:dyDescent="0.3">
      <c r="A901" s="1">
        <v>45255</v>
      </c>
      <c r="B901" s="1" t="str">
        <f t="shared" si="56"/>
        <v>Nov</v>
      </c>
      <c r="C901" s="1" t="str">
        <f t="shared" si="57"/>
        <v>2023</v>
      </c>
      <c r="D901" t="s">
        <v>42</v>
      </c>
      <c r="E901" t="s">
        <v>34</v>
      </c>
      <c r="F901" t="s">
        <v>35</v>
      </c>
      <c r="G901">
        <v>407.77</v>
      </c>
      <c r="H901">
        <v>860.95</v>
      </c>
      <c r="I901">
        <v>37</v>
      </c>
      <c r="J901">
        <f t="shared" si="58"/>
        <v>31855.15</v>
      </c>
      <c r="K901">
        <f t="shared" si="59"/>
        <v>16767.660000000003</v>
      </c>
      <c r="L901" t="s">
        <v>30</v>
      </c>
      <c r="M901" t="s">
        <v>31</v>
      </c>
      <c r="N901" t="s">
        <v>22</v>
      </c>
    </row>
    <row r="902" spans="1:14" x14ac:dyDescent="0.3">
      <c r="A902" s="1">
        <v>45256</v>
      </c>
      <c r="B902" s="1" t="str">
        <f t="shared" si="56"/>
        <v>Nov</v>
      </c>
      <c r="C902" s="1" t="str">
        <f t="shared" si="57"/>
        <v>2023</v>
      </c>
      <c r="D902" t="s">
        <v>42</v>
      </c>
      <c r="E902" t="s">
        <v>21</v>
      </c>
      <c r="F902" t="s">
        <v>35</v>
      </c>
      <c r="G902">
        <v>2041.75</v>
      </c>
      <c r="H902">
        <v>2299.37</v>
      </c>
      <c r="I902">
        <v>39</v>
      </c>
      <c r="J902">
        <f t="shared" si="58"/>
        <v>89675.43</v>
      </c>
      <c r="K902">
        <f t="shared" si="59"/>
        <v>10047.179999999997</v>
      </c>
      <c r="L902" t="s">
        <v>17</v>
      </c>
      <c r="M902" t="s">
        <v>27</v>
      </c>
      <c r="N902" t="s">
        <v>22</v>
      </c>
    </row>
    <row r="903" spans="1:14" x14ac:dyDescent="0.3">
      <c r="A903" s="1">
        <v>45256</v>
      </c>
      <c r="B903" s="1" t="str">
        <f t="shared" si="56"/>
        <v>Nov</v>
      </c>
      <c r="C903" s="1" t="str">
        <f t="shared" si="57"/>
        <v>2023</v>
      </c>
      <c r="D903" t="s">
        <v>14</v>
      </c>
      <c r="E903" t="s">
        <v>25</v>
      </c>
      <c r="F903" t="s">
        <v>35</v>
      </c>
      <c r="G903">
        <v>2009.1</v>
      </c>
      <c r="H903">
        <v>2186.42</v>
      </c>
      <c r="I903">
        <v>3</v>
      </c>
      <c r="J903">
        <f t="shared" si="58"/>
        <v>6559.26</v>
      </c>
      <c r="K903">
        <f t="shared" si="59"/>
        <v>531.96000000000049</v>
      </c>
      <c r="L903" t="s">
        <v>30</v>
      </c>
      <c r="M903" t="s">
        <v>27</v>
      </c>
      <c r="N903" t="s">
        <v>19</v>
      </c>
    </row>
    <row r="904" spans="1:14" x14ac:dyDescent="0.3">
      <c r="A904" s="1">
        <v>45256</v>
      </c>
      <c r="B904" s="1" t="str">
        <f t="shared" si="56"/>
        <v>Nov</v>
      </c>
      <c r="C904" s="1" t="str">
        <f t="shared" si="57"/>
        <v>2023</v>
      </c>
      <c r="D904" t="s">
        <v>38</v>
      </c>
      <c r="E904" t="s">
        <v>25</v>
      </c>
      <c r="F904" t="s">
        <v>26</v>
      </c>
      <c r="G904">
        <v>3970.37</v>
      </c>
      <c r="H904">
        <v>4257.5199999999904</v>
      </c>
      <c r="I904">
        <v>8</v>
      </c>
      <c r="J904">
        <f t="shared" si="58"/>
        <v>34060.159999999923</v>
      </c>
      <c r="K904">
        <f t="shared" si="59"/>
        <v>2297.1999999999243</v>
      </c>
      <c r="L904" t="s">
        <v>30</v>
      </c>
      <c r="M904" t="s">
        <v>18</v>
      </c>
      <c r="N904" t="s">
        <v>22</v>
      </c>
    </row>
    <row r="905" spans="1:14" x14ac:dyDescent="0.3">
      <c r="A905" s="1">
        <v>45256</v>
      </c>
      <c r="B905" s="1" t="str">
        <f t="shared" si="56"/>
        <v>Nov</v>
      </c>
      <c r="C905" s="1" t="str">
        <f t="shared" si="57"/>
        <v>2023</v>
      </c>
      <c r="D905" t="s">
        <v>24</v>
      </c>
      <c r="E905" t="s">
        <v>15</v>
      </c>
      <c r="F905" t="s">
        <v>16</v>
      </c>
      <c r="G905">
        <v>3089.96</v>
      </c>
      <c r="H905">
        <v>3258.45</v>
      </c>
      <c r="I905">
        <v>40</v>
      </c>
      <c r="J905">
        <f t="shared" si="58"/>
        <v>130338</v>
      </c>
      <c r="K905">
        <f t="shared" si="59"/>
        <v>6739.5999999999913</v>
      </c>
      <c r="L905" t="s">
        <v>30</v>
      </c>
      <c r="M905" t="s">
        <v>18</v>
      </c>
      <c r="N905" t="s">
        <v>19</v>
      </c>
    </row>
    <row r="906" spans="1:14" x14ac:dyDescent="0.3">
      <c r="A906" s="1">
        <v>45256</v>
      </c>
      <c r="B906" s="1" t="str">
        <f t="shared" si="56"/>
        <v>Nov</v>
      </c>
      <c r="C906" s="1" t="str">
        <f t="shared" si="57"/>
        <v>2023</v>
      </c>
      <c r="D906" t="s">
        <v>33</v>
      </c>
      <c r="E906" t="s">
        <v>21</v>
      </c>
      <c r="F906" t="s">
        <v>26</v>
      </c>
      <c r="G906">
        <v>4257.24</v>
      </c>
      <c r="H906">
        <v>4355.87</v>
      </c>
      <c r="I906">
        <v>7</v>
      </c>
      <c r="J906">
        <f t="shared" si="58"/>
        <v>30491.09</v>
      </c>
      <c r="K906">
        <f t="shared" si="59"/>
        <v>690.41000000000076</v>
      </c>
      <c r="L906" t="s">
        <v>17</v>
      </c>
      <c r="M906" t="s">
        <v>27</v>
      </c>
      <c r="N906" t="s">
        <v>19</v>
      </c>
    </row>
    <row r="907" spans="1:14" x14ac:dyDescent="0.3">
      <c r="A907" s="1">
        <v>45257</v>
      </c>
      <c r="B907" s="1" t="str">
        <f t="shared" si="56"/>
        <v>Nov</v>
      </c>
      <c r="C907" s="1" t="str">
        <f t="shared" si="57"/>
        <v>2023</v>
      </c>
      <c r="D907" t="s">
        <v>42</v>
      </c>
      <c r="E907" t="s">
        <v>25</v>
      </c>
      <c r="F907" t="s">
        <v>16</v>
      </c>
      <c r="G907">
        <v>2254.9899999999998</v>
      </c>
      <c r="H907">
        <v>2441.79</v>
      </c>
      <c r="I907">
        <v>31</v>
      </c>
      <c r="J907">
        <f t="shared" si="58"/>
        <v>75695.490000000005</v>
      </c>
      <c r="K907">
        <f t="shared" si="59"/>
        <v>5790.8000000000056</v>
      </c>
      <c r="L907" t="s">
        <v>17</v>
      </c>
      <c r="M907" t="s">
        <v>27</v>
      </c>
      <c r="N907" t="s">
        <v>19</v>
      </c>
    </row>
    <row r="908" spans="1:14" x14ac:dyDescent="0.3">
      <c r="A908" s="1">
        <v>45258</v>
      </c>
      <c r="B908" s="1" t="str">
        <f t="shared" si="56"/>
        <v>Nov</v>
      </c>
      <c r="C908" s="1" t="str">
        <f t="shared" si="57"/>
        <v>2023</v>
      </c>
      <c r="D908" t="s">
        <v>24</v>
      </c>
      <c r="E908" t="s">
        <v>21</v>
      </c>
      <c r="F908" t="s">
        <v>16</v>
      </c>
      <c r="G908">
        <v>1200.4000000000001</v>
      </c>
      <c r="H908">
        <v>1430.45</v>
      </c>
      <c r="I908">
        <v>43</v>
      </c>
      <c r="J908">
        <f t="shared" si="58"/>
        <v>61509.35</v>
      </c>
      <c r="K908">
        <f t="shared" si="59"/>
        <v>9892.1499999999978</v>
      </c>
      <c r="L908" t="s">
        <v>30</v>
      </c>
      <c r="M908" t="s">
        <v>27</v>
      </c>
      <c r="N908" t="s">
        <v>22</v>
      </c>
    </row>
    <row r="909" spans="1:14" x14ac:dyDescent="0.3">
      <c r="A909" s="1">
        <v>45258</v>
      </c>
      <c r="B909" s="1" t="str">
        <f t="shared" si="56"/>
        <v>Nov</v>
      </c>
      <c r="C909" s="1" t="str">
        <f t="shared" si="57"/>
        <v>2023</v>
      </c>
      <c r="D909" t="s">
        <v>33</v>
      </c>
      <c r="E909" t="s">
        <v>21</v>
      </c>
      <c r="F909" t="s">
        <v>35</v>
      </c>
      <c r="G909">
        <v>3703.93</v>
      </c>
      <c r="H909">
        <v>3840.24</v>
      </c>
      <c r="I909">
        <v>6</v>
      </c>
      <c r="J909">
        <f t="shared" si="58"/>
        <v>23041.439999999999</v>
      </c>
      <c r="K909">
        <f t="shared" si="59"/>
        <v>817.85999999999967</v>
      </c>
      <c r="L909" t="s">
        <v>30</v>
      </c>
      <c r="M909" t="s">
        <v>31</v>
      </c>
      <c r="N909" t="s">
        <v>19</v>
      </c>
    </row>
    <row r="910" spans="1:14" x14ac:dyDescent="0.3">
      <c r="A910" s="1">
        <v>45258</v>
      </c>
      <c r="B910" s="1" t="str">
        <f t="shared" si="56"/>
        <v>Nov</v>
      </c>
      <c r="C910" s="1" t="str">
        <f t="shared" si="57"/>
        <v>2023</v>
      </c>
      <c r="D910" t="s">
        <v>24</v>
      </c>
      <c r="E910" t="s">
        <v>21</v>
      </c>
      <c r="F910" t="s">
        <v>16</v>
      </c>
      <c r="G910">
        <v>4349.34</v>
      </c>
      <c r="H910">
        <v>4629.9799999999996</v>
      </c>
      <c r="I910">
        <v>8</v>
      </c>
      <c r="J910">
        <f t="shared" si="58"/>
        <v>37039.839999999997</v>
      </c>
      <c r="K910">
        <f t="shared" si="59"/>
        <v>2245.1199999999953</v>
      </c>
      <c r="L910" t="s">
        <v>17</v>
      </c>
      <c r="M910" t="s">
        <v>31</v>
      </c>
      <c r="N910" t="s">
        <v>19</v>
      </c>
    </row>
    <row r="911" spans="1:14" x14ac:dyDescent="0.3">
      <c r="A911" s="1">
        <v>45259</v>
      </c>
      <c r="B911" s="1" t="str">
        <f t="shared" si="56"/>
        <v>Nov</v>
      </c>
      <c r="C911" s="1" t="str">
        <f t="shared" si="57"/>
        <v>2023</v>
      </c>
      <c r="D911" t="s">
        <v>24</v>
      </c>
      <c r="E911" t="s">
        <v>15</v>
      </c>
      <c r="F911" t="s">
        <v>16</v>
      </c>
      <c r="G911">
        <v>3305.94</v>
      </c>
      <c r="H911">
        <v>3599.27</v>
      </c>
      <c r="I911">
        <v>24</v>
      </c>
      <c r="J911">
        <f t="shared" si="58"/>
        <v>86382.48</v>
      </c>
      <c r="K911">
        <f t="shared" si="59"/>
        <v>7039.9199999999983</v>
      </c>
      <c r="L911" t="s">
        <v>30</v>
      </c>
      <c r="M911" t="s">
        <v>31</v>
      </c>
      <c r="N911" t="s">
        <v>22</v>
      </c>
    </row>
    <row r="912" spans="1:14" x14ac:dyDescent="0.3">
      <c r="A912" s="1">
        <v>45259</v>
      </c>
      <c r="B912" s="1" t="str">
        <f t="shared" si="56"/>
        <v>Nov</v>
      </c>
      <c r="C912" s="1" t="str">
        <f t="shared" si="57"/>
        <v>2023</v>
      </c>
      <c r="D912" t="s">
        <v>14</v>
      </c>
      <c r="E912" t="s">
        <v>21</v>
      </c>
      <c r="F912" t="s">
        <v>26</v>
      </c>
      <c r="G912">
        <v>737.9</v>
      </c>
      <c r="H912">
        <v>1182</v>
      </c>
      <c r="I912">
        <v>7</v>
      </c>
      <c r="J912">
        <f t="shared" si="58"/>
        <v>8274</v>
      </c>
      <c r="K912">
        <f t="shared" si="59"/>
        <v>3108.7000000000003</v>
      </c>
      <c r="L912" t="s">
        <v>30</v>
      </c>
      <c r="M912" t="s">
        <v>31</v>
      </c>
      <c r="N912" t="s">
        <v>22</v>
      </c>
    </row>
    <row r="913" spans="1:14" x14ac:dyDescent="0.3">
      <c r="A913" s="1">
        <v>45260</v>
      </c>
      <c r="B913" s="1" t="str">
        <f t="shared" si="56"/>
        <v>Nov</v>
      </c>
      <c r="C913" s="1" t="str">
        <f t="shared" si="57"/>
        <v>2023</v>
      </c>
      <c r="D913" t="s">
        <v>42</v>
      </c>
      <c r="E913" t="s">
        <v>25</v>
      </c>
      <c r="F913" t="s">
        <v>35</v>
      </c>
      <c r="G913">
        <v>1196.42</v>
      </c>
      <c r="H913">
        <v>1444.97</v>
      </c>
      <c r="I913">
        <v>41</v>
      </c>
      <c r="J913">
        <f t="shared" si="58"/>
        <v>59243.770000000004</v>
      </c>
      <c r="K913">
        <f t="shared" si="59"/>
        <v>10190.549999999997</v>
      </c>
      <c r="L913" t="s">
        <v>17</v>
      </c>
      <c r="M913" t="s">
        <v>27</v>
      </c>
      <c r="N913" t="s">
        <v>19</v>
      </c>
    </row>
    <row r="914" spans="1:14" x14ac:dyDescent="0.3">
      <c r="A914" s="1">
        <v>45261</v>
      </c>
      <c r="B914" s="1" t="str">
        <f t="shared" si="56"/>
        <v>Dec</v>
      </c>
      <c r="C914" s="1" t="str">
        <f t="shared" si="57"/>
        <v>2023</v>
      </c>
      <c r="D914" t="s">
        <v>33</v>
      </c>
      <c r="E914" t="s">
        <v>21</v>
      </c>
      <c r="F914" t="s">
        <v>16</v>
      </c>
      <c r="G914">
        <v>3513</v>
      </c>
      <c r="H914">
        <v>3838.42</v>
      </c>
      <c r="I914">
        <v>8</v>
      </c>
      <c r="J914">
        <f t="shared" si="58"/>
        <v>30707.360000000001</v>
      </c>
      <c r="K914">
        <f t="shared" si="59"/>
        <v>2603.3600000000006</v>
      </c>
      <c r="L914" t="s">
        <v>17</v>
      </c>
      <c r="M914" t="s">
        <v>27</v>
      </c>
      <c r="N914" t="s">
        <v>19</v>
      </c>
    </row>
    <row r="915" spans="1:14" x14ac:dyDescent="0.3">
      <c r="A915" s="1">
        <v>45261</v>
      </c>
      <c r="B915" s="1" t="str">
        <f t="shared" si="56"/>
        <v>Dec</v>
      </c>
      <c r="C915" s="1" t="str">
        <f t="shared" si="57"/>
        <v>2023</v>
      </c>
      <c r="D915" t="s">
        <v>24</v>
      </c>
      <c r="E915" t="s">
        <v>21</v>
      </c>
      <c r="F915" t="s">
        <v>16</v>
      </c>
      <c r="G915">
        <v>2565.3000000000002</v>
      </c>
      <c r="H915">
        <v>3007.47</v>
      </c>
      <c r="I915">
        <v>40</v>
      </c>
      <c r="J915">
        <f t="shared" si="58"/>
        <v>120298.79999999999</v>
      </c>
      <c r="K915">
        <f t="shared" si="59"/>
        <v>17686.799999999985</v>
      </c>
      <c r="L915" t="s">
        <v>17</v>
      </c>
      <c r="M915" t="s">
        <v>31</v>
      </c>
      <c r="N915" t="s">
        <v>22</v>
      </c>
    </row>
    <row r="916" spans="1:14" x14ac:dyDescent="0.3">
      <c r="A916" s="1">
        <v>45261</v>
      </c>
      <c r="B916" s="1" t="str">
        <f t="shared" si="56"/>
        <v>Dec</v>
      </c>
      <c r="C916" s="1" t="str">
        <f t="shared" si="57"/>
        <v>2023</v>
      </c>
      <c r="D916" t="s">
        <v>14</v>
      </c>
      <c r="E916" t="s">
        <v>34</v>
      </c>
      <c r="F916" t="s">
        <v>16</v>
      </c>
      <c r="G916">
        <v>1994.9</v>
      </c>
      <c r="H916">
        <v>2066.5</v>
      </c>
      <c r="I916">
        <v>20</v>
      </c>
      <c r="J916">
        <f t="shared" si="58"/>
        <v>41330</v>
      </c>
      <c r="K916">
        <f t="shared" si="59"/>
        <v>1431.9999999999982</v>
      </c>
      <c r="L916" t="s">
        <v>17</v>
      </c>
      <c r="M916" t="s">
        <v>27</v>
      </c>
      <c r="N916" t="s">
        <v>19</v>
      </c>
    </row>
    <row r="917" spans="1:14" x14ac:dyDescent="0.3">
      <c r="A917" s="1">
        <v>45261</v>
      </c>
      <c r="B917" s="1" t="str">
        <f t="shared" si="56"/>
        <v>Dec</v>
      </c>
      <c r="C917" s="1" t="str">
        <f t="shared" si="57"/>
        <v>2023</v>
      </c>
      <c r="D917" t="s">
        <v>42</v>
      </c>
      <c r="E917" t="s">
        <v>34</v>
      </c>
      <c r="F917" t="s">
        <v>16</v>
      </c>
      <c r="G917">
        <v>4991.09</v>
      </c>
      <c r="H917">
        <v>5402.28</v>
      </c>
      <c r="I917">
        <v>34</v>
      </c>
      <c r="J917">
        <f t="shared" si="58"/>
        <v>183677.52</v>
      </c>
      <c r="K917">
        <f t="shared" si="59"/>
        <v>13980.459999999986</v>
      </c>
      <c r="L917" t="s">
        <v>17</v>
      </c>
      <c r="M917" t="s">
        <v>18</v>
      </c>
      <c r="N917" t="s">
        <v>22</v>
      </c>
    </row>
    <row r="918" spans="1:14" x14ac:dyDescent="0.3">
      <c r="A918" s="1">
        <v>45262</v>
      </c>
      <c r="B918" s="1" t="str">
        <f t="shared" si="56"/>
        <v>Dec</v>
      </c>
      <c r="C918" s="1" t="str">
        <f t="shared" si="57"/>
        <v>2023</v>
      </c>
      <c r="D918" t="s">
        <v>24</v>
      </c>
      <c r="E918" t="s">
        <v>34</v>
      </c>
      <c r="F918" t="s">
        <v>35</v>
      </c>
      <c r="G918">
        <v>2258.54</v>
      </c>
      <c r="H918">
        <v>2439.4899999999998</v>
      </c>
      <c r="I918">
        <v>24</v>
      </c>
      <c r="J918">
        <f t="shared" si="58"/>
        <v>58547.759999999995</v>
      </c>
      <c r="K918">
        <f t="shared" si="59"/>
        <v>4342.7999999999956</v>
      </c>
      <c r="L918" t="s">
        <v>17</v>
      </c>
      <c r="M918" t="s">
        <v>31</v>
      </c>
      <c r="N918" t="s">
        <v>22</v>
      </c>
    </row>
    <row r="919" spans="1:14" x14ac:dyDescent="0.3">
      <c r="A919" s="1">
        <v>45263</v>
      </c>
      <c r="B919" s="1" t="str">
        <f t="shared" si="56"/>
        <v>Dec</v>
      </c>
      <c r="C919" s="1" t="str">
        <f t="shared" si="57"/>
        <v>2023</v>
      </c>
      <c r="D919" t="s">
        <v>14</v>
      </c>
      <c r="E919" t="s">
        <v>34</v>
      </c>
      <c r="F919" t="s">
        <v>35</v>
      </c>
      <c r="G919">
        <v>1442.69</v>
      </c>
      <c r="H919">
        <v>1882.57</v>
      </c>
      <c r="I919">
        <v>13</v>
      </c>
      <c r="J919">
        <f t="shared" si="58"/>
        <v>24473.41</v>
      </c>
      <c r="K919">
        <f t="shared" si="59"/>
        <v>5718.4399999999987</v>
      </c>
      <c r="L919" t="s">
        <v>17</v>
      </c>
      <c r="M919" t="s">
        <v>18</v>
      </c>
      <c r="N919" t="s">
        <v>19</v>
      </c>
    </row>
    <row r="920" spans="1:14" x14ac:dyDescent="0.3">
      <c r="A920" s="1">
        <v>45263</v>
      </c>
      <c r="B920" s="1" t="str">
        <f t="shared" si="56"/>
        <v>Dec</v>
      </c>
      <c r="C920" s="1" t="str">
        <f t="shared" si="57"/>
        <v>2023</v>
      </c>
      <c r="D920" t="s">
        <v>24</v>
      </c>
      <c r="E920" t="s">
        <v>15</v>
      </c>
      <c r="F920" t="s">
        <v>35</v>
      </c>
      <c r="G920">
        <v>2885.16</v>
      </c>
      <c r="H920">
        <v>3224.8399999999901</v>
      </c>
      <c r="I920">
        <v>35</v>
      </c>
      <c r="J920">
        <f t="shared" si="58"/>
        <v>112869.39999999966</v>
      </c>
      <c r="K920">
        <f t="shared" si="59"/>
        <v>11888.799999999661</v>
      </c>
      <c r="L920" t="s">
        <v>30</v>
      </c>
      <c r="M920" t="s">
        <v>18</v>
      </c>
      <c r="N920" t="s">
        <v>19</v>
      </c>
    </row>
    <row r="921" spans="1:14" x14ac:dyDescent="0.3">
      <c r="A921" s="1">
        <v>45263</v>
      </c>
      <c r="B921" s="1" t="str">
        <f t="shared" si="56"/>
        <v>Dec</v>
      </c>
      <c r="C921" s="1" t="str">
        <f t="shared" si="57"/>
        <v>2023</v>
      </c>
      <c r="D921" t="s">
        <v>24</v>
      </c>
      <c r="E921" t="s">
        <v>34</v>
      </c>
      <c r="F921" t="s">
        <v>29</v>
      </c>
      <c r="G921">
        <v>422.74</v>
      </c>
      <c r="H921">
        <v>737.49</v>
      </c>
      <c r="I921">
        <v>6</v>
      </c>
      <c r="J921">
        <f t="shared" si="58"/>
        <v>4424.9400000000005</v>
      </c>
      <c r="K921">
        <f t="shared" si="59"/>
        <v>1888.5</v>
      </c>
      <c r="L921" t="s">
        <v>17</v>
      </c>
      <c r="M921" t="s">
        <v>31</v>
      </c>
      <c r="N921" t="s">
        <v>22</v>
      </c>
    </row>
    <row r="922" spans="1:14" x14ac:dyDescent="0.3">
      <c r="A922" s="1">
        <v>45264</v>
      </c>
      <c r="B922" s="1" t="str">
        <f t="shared" si="56"/>
        <v>Dec</v>
      </c>
      <c r="C922" s="1" t="str">
        <f t="shared" si="57"/>
        <v>2023</v>
      </c>
      <c r="D922" t="s">
        <v>14</v>
      </c>
      <c r="E922" t="s">
        <v>21</v>
      </c>
      <c r="F922" t="s">
        <v>16</v>
      </c>
      <c r="G922">
        <v>493.35</v>
      </c>
      <c r="H922">
        <v>799.27</v>
      </c>
      <c r="I922">
        <v>49</v>
      </c>
      <c r="J922">
        <f t="shared" si="58"/>
        <v>39164.229999999996</v>
      </c>
      <c r="K922">
        <f t="shared" si="59"/>
        <v>14990.079999999998</v>
      </c>
      <c r="L922" t="s">
        <v>30</v>
      </c>
      <c r="M922" t="s">
        <v>27</v>
      </c>
      <c r="N922" t="s">
        <v>19</v>
      </c>
    </row>
    <row r="923" spans="1:14" x14ac:dyDescent="0.3">
      <c r="A923" s="1">
        <v>45264</v>
      </c>
      <c r="B923" s="1" t="str">
        <f t="shared" si="56"/>
        <v>Dec</v>
      </c>
      <c r="C923" s="1" t="str">
        <f t="shared" si="57"/>
        <v>2023</v>
      </c>
      <c r="D923" t="s">
        <v>24</v>
      </c>
      <c r="E923" t="s">
        <v>25</v>
      </c>
      <c r="F923" t="s">
        <v>29</v>
      </c>
      <c r="G923">
        <v>2188.35</v>
      </c>
      <c r="H923">
        <v>2605.3599999999901</v>
      </c>
      <c r="I923">
        <v>14</v>
      </c>
      <c r="J923">
        <f t="shared" si="58"/>
        <v>36475.039999999863</v>
      </c>
      <c r="K923">
        <f t="shared" si="59"/>
        <v>5838.139999999863</v>
      </c>
      <c r="L923" t="s">
        <v>17</v>
      </c>
      <c r="M923" t="s">
        <v>31</v>
      </c>
      <c r="N923" t="s">
        <v>22</v>
      </c>
    </row>
    <row r="924" spans="1:14" x14ac:dyDescent="0.3">
      <c r="A924" s="1">
        <v>45265</v>
      </c>
      <c r="B924" s="1" t="str">
        <f t="shared" si="56"/>
        <v>Dec</v>
      </c>
      <c r="C924" s="1" t="str">
        <f t="shared" si="57"/>
        <v>2023</v>
      </c>
      <c r="D924" t="s">
        <v>33</v>
      </c>
      <c r="E924" t="s">
        <v>34</v>
      </c>
      <c r="F924" t="s">
        <v>35</v>
      </c>
      <c r="G924">
        <v>68.989999999999995</v>
      </c>
      <c r="H924">
        <v>429.29</v>
      </c>
      <c r="I924">
        <v>27</v>
      </c>
      <c r="J924">
        <f t="shared" si="58"/>
        <v>11590.83</v>
      </c>
      <c r="K924">
        <f t="shared" si="59"/>
        <v>9728.1</v>
      </c>
      <c r="L924" t="s">
        <v>17</v>
      </c>
      <c r="M924" t="s">
        <v>31</v>
      </c>
      <c r="N924" t="s">
        <v>22</v>
      </c>
    </row>
    <row r="925" spans="1:14" x14ac:dyDescent="0.3">
      <c r="A925" s="1">
        <v>45265</v>
      </c>
      <c r="B925" s="1" t="str">
        <f t="shared" si="56"/>
        <v>Dec</v>
      </c>
      <c r="C925" s="1" t="str">
        <f t="shared" si="57"/>
        <v>2023</v>
      </c>
      <c r="D925" t="s">
        <v>38</v>
      </c>
      <c r="E925" t="s">
        <v>34</v>
      </c>
      <c r="F925" t="s">
        <v>16</v>
      </c>
      <c r="G925">
        <v>333.32</v>
      </c>
      <c r="H925">
        <v>700.25</v>
      </c>
      <c r="I925">
        <v>12</v>
      </c>
      <c r="J925">
        <f t="shared" si="58"/>
        <v>8403</v>
      </c>
      <c r="K925">
        <f t="shared" si="59"/>
        <v>4403.16</v>
      </c>
      <c r="L925" t="s">
        <v>17</v>
      </c>
      <c r="M925" t="s">
        <v>18</v>
      </c>
      <c r="N925" t="s">
        <v>19</v>
      </c>
    </row>
    <row r="926" spans="1:14" x14ac:dyDescent="0.3">
      <c r="A926" s="1">
        <v>45266</v>
      </c>
      <c r="B926" s="1" t="str">
        <f t="shared" si="56"/>
        <v>Dec</v>
      </c>
      <c r="C926" s="1" t="str">
        <f t="shared" si="57"/>
        <v>2023</v>
      </c>
      <c r="D926" t="s">
        <v>42</v>
      </c>
      <c r="E926" t="s">
        <v>15</v>
      </c>
      <c r="F926" t="s">
        <v>26</v>
      </c>
      <c r="G926">
        <v>4368.97</v>
      </c>
      <c r="H926">
        <v>4696.8500000000004</v>
      </c>
      <c r="I926">
        <v>31</v>
      </c>
      <c r="J926">
        <f t="shared" si="58"/>
        <v>145602.35</v>
      </c>
      <c r="K926">
        <f t="shared" si="59"/>
        <v>10164.280000000002</v>
      </c>
      <c r="L926" t="s">
        <v>17</v>
      </c>
      <c r="M926" t="s">
        <v>27</v>
      </c>
      <c r="N926" t="s">
        <v>22</v>
      </c>
    </row>
    <row r="927" spans="1:14" x14ac:dyDescent="0.3">
      <c r="A927" s="1">
        <v>45266</v>
      </c>
      <c r="B927" s="1" t="str">
        <f t="shared" si="56"/>
        <v>Dec</v>
      </c>
      <c r="C927" s="1" t="str">
        <f t="shared" si="57"/>
        <v>2023</v>
      </c>
      <c r="D927" t="s">
        <v>38</v>
      </c>
      <c r="E927" t="s">
        <v>15</v>
      </c>
      <c r="F927" t="s">
        <v>35</v>
      </c>
      <c r="G927">
        <v>3117.75</v>
      </c>
      <c r="H927">
        <v>3159.88</v>
      </c>
      <c r="I927">
        <v>42</v>
      </c>
      <c r="J927">
        <f t="shared" si="58"/>
        <v>132714.96</v>
      </c>
      <c r="K927">
        <f t="shared" si="59"/>
        <v>1769.4600000000046</v>
      </c>
      <c r="L927" t="s">
        <v>30</v>
      </c>
      <c r="M927" t="s">
        <v>18</v>
      </c>
      <c r="N927" t="s">
        <v>22</v>
      </c>
    </row>
    <row r="928" spans="1:14" x14ac:dyDescent="0.3">
      <c r="A928" s="1">
        <v>45267</v>
      </c>
      <c r="B928" s="1" t="str">
        <f t="shared" si="56"/>
        <v>Dec</v>
      </c>
      <c r="C928" s="1" t="str">
        <f t="shared" si="57"/>
        <v>2023</v>
      </c>
      <c r="D928" t="s">
        <v>14</v>
      </c>
      <c r="E928" t="s">
        <v>34</v>
      </c>
      <c r="F928" t="s">
        <v>16</v>
      </c>
      <c r="G928">
        <v>2471.67</v>
      </c>
      <c r="H928">
        <v>2533.04</v>
      </c>
      <c r="I928">
        <v>22</v>
      </c>
      <c r="J928">
        <f t="shared" si="58"/>
        <v>55726.879999999997</v>
      </c>
      <c r="K928">
        <f t="shared" si="59"/>
        <v>1350.1399999999976</v>
      </c>
      <c r="L928" t="s">
        <v>17</v>
      </c>
      <c r="M928" t="s">
        <v>27</v>
      </c>
      <c r="N928" t="s">
        <v>22</v>
      </c>
    </row>
    <row r="929" spans="1:14" x14ac:dyDescent="0.3">
      <c r="A929" s="1">
        <v>45268</v>
      </c>
      <c r="B929" s="1" t="str">
        <f t="shared" si="56"/>
        <v>Dec</v>
      </c>
      <c r="C929" s="1" t="str">
        <f t="shared" si="57"/>
        <v>2023</v>
      </c>
      <c r="D929" t="s">
        <v>42</v>
      </c>
      <c r="E929" t="s">
        <v>25</v>
      </c>
      <c r="F929" t="s">
        <v>35</v>
      </c>
      <c r="G929">
        <v>2907.22</v>
      </c>
      <c r="H929">
        <v>3385.6099999999901</v>
      </c>
      <c r="I929">
        <v>49</v>
      </c>
      <c r="J929">
        <f t="shared" si="58"/>
        <v>165894.88999999952</v>
      </c>
      <c r="K929">
        <f t="shared" si="59"/>
        <v>23441.109999999528</v>
      </c>
      <c r="L929" t="s">
        <v>30</v>
      </c>
      <c r="M929" t="s">
        <v>18</v>
      </c>
      <c r="N929" t="s">
        <v>19</v>
      </c>
    </row>
    <row r="930" spans="1:14" x14ac:dyDescent="0.3">
      <c r="A930" s="1">
        <v>45268</v>
      </c>
      <c r="B930" s="1" t="str">
        <f t="shared" si="56"/>
        <v>Dec</v>
      </c>
      <c r="C930" s="1" t="str">
        <f t="shared" si="57"/>
        <v>2023</v>
      </c>
      <c r="D930" t="s">
        <v>24</v>
      </c>
      <c r="E930" t="s">
        <v>15</v>
      </c>
      <c r="F930" t="s">
        <v>26</v>
      </c>
      <c r="G930">
        <v>4236.05</v>
      </c>
      <c r="H930">
        <v>4382.32</v>
      </c>
      <c r="I930">
        <v>22</v>
      </c>
      <c r="J930">
        <f t="shared" si="58"/>
        <v>96411.04</v>
      </c>
      <c r="K930">
        <f t="shared" si="59"/>
        <v>3217.9399999999896</v>
      </c>
      <c r="L930" t="s">
        <v>30</v>
      </c>
      <c r="M930" t="s">
        <v>27</v>
      </c>
      <c r="N930" t="s">
        <v>19</v>
      </c>
    </row>
    <row r="931" spans="1:14" x14ac:dyDescent="0.3">
      <c r="A931" s="1">
        <v>45268</v>
      </c>
      <c r="B931" s="1" t="str">
        <f t="shared" si="56"/>
        <v>Dec</v>
      </c>
      <c r="C931" s="1" t="str">
        <f t="shared" si="57"/>
        <v>2023</v>
      </c>
      <c r="D931" t="s">
        <v>38</v>
      </c>
      <c r="E931" t="s">
        <v>34</v>
      </c>
      <c r="F931" t="s">
        <v>29</v>
      </c>
      <c r="G931">
        <v>3191.05</v>
      </c>
      <c r="H931">
        <v>3555.35</v>
      </c>
      <c r="I931">
        <v>4</v>
      </c>
      <c r="J931">
        <f t="shared" si="58"/>
        <v>14221.4</v>
      </c>
      <c r="K931">
        <f t="shared" si="59"/>
        <v>1457.1999999999989</v>
      </c>
      <c r="L931" t="s">
        <v>30</v>
      </c>
      <c r="M931" t="s">
        <v>31</v>
      </c>
      <c r="N931" t="s">
        <v>19</v>
      </c>
    </row>
    <row r="932" spans="1:14" x14ac:dyDescent="0.3">
      <c r="A932" s="1">
        <v>45270</v>
      </c>
      <c r="B932" s="1" t="str">
        <f t="shared" si="56"/>
        <v>Dec</v>
      </c>
      <c r="C932" s="1" t="str">
        <f t="shared" si="57"/>
        <v>2023</v>
      </c>
      <c r="D932" t="s">
        <v>14</v>
      </c>
      <c r="E932" t="s">
        <v>15</v>
      </c>
      <c r="F932" t="s">
        <v>35</v>
      </c>
      <c r="G932">
        <v>4268.45</v>
      </c>
      <c r="H932">
        <v>4551.5999999999904</v>
      </c>
      <c r="I932">
        <v>45</v>
      </c>
      <c r="J932">
        <f t="shared" si="58"/>
        <v>204821.99999999956</v>
      </c>
      <c r="K932">
        <f t="shared" si="59"/>
        <v>12741.749999999574</v>
      </c>
      <c r="L932" t="s">
        <v>30</v>
      </c>
      <c r="M932" t="s">
        <v>27</v>
      </c>
      <c r="N932" t="s">
        <v>19</v>
      </c>
    </row>
    <row r="933" spans="1:14" x14ac:dyDescent="0.3">
      <c r="A933" s="1">
        <v>45270</v>
      </c>
      <c r="B933" s="1" t="str">
        <f t="shared" si="56"/>
        <v>Dec</v>
      </c>
      <c r="C933" s="1" t="str">
        <f t="shared" si="57"/>
        <v>2023</v>
      </c>
      <c r="D933" t="s">
        <v>24</v>
      </c>
      <c r="E933" t="s">
        <v>15</v>
      </c>
      <c r="F933" t="s">
        <v>26</v>
      </c>
      <c r="G933">
        <v>2882.25</v>
      </c>
      <c r="H933">
        <v>3163.7</v>
      </c>
      <c r="I933">
        <v>7</v>
      </c>
      <c r="J933">
        <f t="shared" si="58"/>
        <v>22145.899999999998</v>
      </c>
      <c r="K933">
        <f t="shared" si="59"/>
        <v>1970.1499999999987</v>
      </c>
      <c r="L933" t="s">
        <v>17</v>
      </c>
      <c r="M933" t="s">
        <v>18</v>
      </c>
      <c r="N933" t="s">
        <v>22</v>
      </c>
    </row>
    <row r="934" spans="1:14" x14ac:dyDescent="0.3">
      <c r="A934" s="1">
        <v>45270</v>
      </c>
      <c r="B934" s="1" t="str">
        <f t="shared" si="56"/>
        <v>Dec</v>
      </c>
      <c r="C934" s="1" t="str">
        <f t="shared" si="57"/>
        <v>2023</v>
      </c>
      <c r="D934" t="s">
        <v>14</v>
      </c>
      <c r="E934" t="s">
        <v>15</v>
      </c>
      <c r="F934" t="s">
        <v>35</v>
      </c>
      <c r="G934">
        <v>2594.08</v>
      </c>
      <c r="H934">
        <v>3074.59</v>
      </c>
      <c r="I934">
        <v>32</v>
      </c>
      <c r="J934">
        <f t="shared" si="58"/>
        <v>98386.880000000005</v>
      </c>
      <c r="K934">
        <f t="shared" si="59"/>
        <v>15376.320000000007</v>
      </c>
      <c r="L934" t="s">
        <v>30</v>
      </c>
      <c r="M934" t="s">
        <v>18</v>
      </c>
      <c r="N934" t="s">
        <v>22</v>
      </c>
    </row>
    <row r="935" spans="1:14" x14ac:dyDescent="0.3">
      <c r="A935" s="1">
        <v>45270</v>
      </c>
      <c r="B935" s="1" t="str">
        <f t="shared" si="56"/>
        <v>Dec</v>
      </c>
      <c r="C935" s="1" t="str">
        <f t="shared" si="57"/>
        <v>2023</v>
      </c>
      <c r="D935" t="s">
        <v>24</v>
      </c>
      <c r="E935" t="s">
        <v>21</v>
      </c>
      <c r="F935" t="s">
        <v>35</v>
      </c>
      <c r="G935">
        <v>1190.08</v>
      </c>
      <c r="H935">
        <v>1292.9399999999901</v>
      </c>
      <c r="I935">
        <v>11</v>
      </c>
      <c r="J935">
        <f t="shared" si="58"/>
        <v>14222.339999999891</v>
      </c>
      <c r="K935">
        <f t="shared" si="59"/>
        <v>1131.4599999998914</v>
      </c>
      <c r="L935" t="s">
        <v>17</v>
      </c>
      <c r="M935" t="s">
        <v>18</v>
      </c>
      <c r="N935" t="s">
        <v>22</v>
      </c>
    </row>
    <row r="936" spans="1:14" x14ac:dyDescent="0.3">
      <c r="A936" s="1">
        <v>45270</v>
      </c>
      <c r="B936" s="1" t="str">
        <f t="shared" si="56"/>
        <v>Dec</v>
      </c>
      <c r="C936" s="1" t="str">
        <f t="shared" si="57"/>
        <v>2023</v>
      </c>
      <c r="D936" t="s">
        <v>38</v>
      </c>
      <c r="E936" t="s">
        <v>34</v>
      </c>
      <c r="F936" t="s">
        <v>35</v>
      </c>
      <c r="G936">
        <v>3895.62</v>
      </c>
      <c r="H936">
        <v>4055.44</v>
      </c>
      <c r="I936">
        <v>28</v>
      </c>
      <c r="J936">
        <f t="shared" si="58"/>
        <v>113552.32000000001</v>
      </c>
      <c r="K936">
        <f t="shared" si="59"/>
        <v>4474.9600000000046</v>
      </c>
      <c r="L936" t="s">
        <v>30</v>
      </c>
      <c r="M936" t="s">
        <v>27</v>
      </c>
      <c r="N936" t="s">
        <v>22</v>
      </c>
    </row>
    <row r="937" spans="1:14" x14ac:dyDescent="0.3">
      <c r="A937" s="1">
        <v>45271</v>
      </c>
      <c r="B937" s="1" t="str">
        <f t="shared" si="56"/>
        <v>Dec</v>
      </c>
      <c r="C937" s="1" t="str">
        <f t="shared" si="57"/>
        <v>2023</v>
      </c>
      <c r="D937" t="s">
        <v>42</v>
      </c>
      <c r="E937" t="s">
        <v>21</v>
      </c>
      <c r="F937" t="s">
        <v>29</v>
      </c>
      <c r="G937">
        <v>241.85</v>
      </c>
      <c r="H937">
        <v>613.09</v>
      </c>
      <c r="I937">
        <v>22</v>
      </c>
      <c r="J937">
        <f t="shared" si="58"/>
        <v>13487.980000000001</v>
      </c>
      <c r="K937">
        <f t="shared" si="59"/>
        <v>8167.2800000000007</v>
      </c>
      <c r="L937" t="s">
        <v>17</v>
      </c>
      <c r="M937" t="s">
        <v>18</v>
      </c>
      <c r="N937" t="s">
        <v>19</v>
      </c>
    </row>
    <row r="938" spans="1:14" x14ac:dyDescent="0.3">
      <c r="A938" s="1">
        <v>45272</v>
      </c>
      <c r="B938" s="1" t="str">
        <f t="shared" si="56"/>
        <v>Dec</v>
      </c>
      <c r="C938" s="1" t="str">
        <f t="shared" si="57"/>
        <v>2023</v>
      </c>
      <c r="D938" t="s">
        <v>38</v>
      </c>
      <c r="E938" t="s">
        <v>15</v>
      </c>
      <c r="F938" t="s">
        <v>29</v>
      </c>
      <c r="G938">
        <v>467.11</v>
      </c>
      <c r="H938">
        <v>792.21</v>
      </c>
      <c r="I938">
        <v>8</v>
      </c>
      <c r="J938">
        <f t="shared" si="58"/>
        <v>6337.68</v>
      </c>
      <c r="K938">
        <f t="shared" si="59"/>
        <v>2600.8000000000002</v>
      </c>
      <c r="L938" t="s">
        <v>30</v>
      </c>
      <c r="M938" t="s">
        <v>31</v>
      </c>
      <c r="N938" t="s">
        <v>19</v>
      </c>
    </row>
    <row r="939" spans="1:14" x14ac:dyDescent="0.3">
      <c r="A939" s="1">
        <v>45272</v>
      </c>
      <c r="B939" s="1" t="str">
        <f t="shared" si="56"/>
        <v>Dec</v>
      </c>
      <c r="C939" s="1" t="str">
        <f t="shared" si="57"/>
        <v>2023</v>
      </c>
      <c r="D939" t="s">
        <v>42</v>
      </c>
      <c r="E939" t="s">
        <v>25</v>
      </c>
      <c r="F939" t="s">
        <v>35</v>
      </c>
      <c r="G939">
        <v>3551.76</v>
      </c>
      <c r="H939">
        <v>3696.1</v>
      </c>
      <c r="I939">
        <v>47</v>
      </c>
      <c r="J939">
        <f t="shared" si="58"/>
        <v>173716.69999999998</v>
      </c>
      <c r="K939">
        <f t="shared" si="59"/>
        <v>6783.979999999985</v>
      </c>
      <c r="L939" t="s">
        <v>17</v>
      </c>
      <c r="M939" t="s">
        <v>27</v>
      </c>
      <c r="N939" t="s">
        <v>22</v>
      </c>
    </row>
    <row r="940" spans="1:14" x14ac:dyDescent="0.3">
      <c r="A940" s="1">
        <v>45273</v>
      </c>
      <c r="B940" s="1" t="str">
        <f t="shared" si="56"/>
        <v>Dec</v>
      </c>
      <c r="C940" s="1" t="str">
        <f t="shared" si="57"/>
        <v>2023</v>
      </c>
      <c r="D940" t="s">
        <v>42</v>
      </c>
      <c r="E940" t="s">
        <v>21</v>
      </c>
      <c r="F940" t="s">
        <v>29</v>
      </c>
      <c r="G940">
        <v>3762.27</v>
      </c>
      <c r="H940">
        <v>4166.95</v>
      </c>
      <c r="I940">
        <v>8</v>
      </c>
      <c r="J940">
        <f t="shared" si="58"/>
        <v>33335.599999999999</v>
      </c>
      <c r="K940">
        <f t="shared" si="59"/>
        <v>3237.4399999999987</v>
      </c>
      <c r="L940" t="s">
        <v>17</v>
      </c>
      <c r="M940" t="s">
        <v>27</v>
      </c>
      <c r="N940" t="s">
        <v>19</v>
      </c>
    </row>
    <row r="941" spans="1:14" x14ac:dyDescent="0.3">
      <c r="A941" s="1">
        <v>45273</v>
      </c>
      <c r="B941" s="1" t="str">
        <f t="shared" si="56"/>
        <v>Dec</v>
      </c>
      <c r="C941" s="1" t="str">
        <f t="shared" si="57"/>
        <v>2023</v>
      </c>
      <c r="D941" t="s">
        <v>33</v>
      </c>
      <c r="E941" t="s">
        <v>15</v>
      </c>
      <c r="F941" t="s">
        <v>29</v>
      </c>
      <c r="G941">
        <v>2273.88</v>
      </c>
      <c r="H941">
        <v>2696.02</v>
      </c>
      <c r="I941">
        <v>15</v>
      </c>
      <c r="J941">
        <f t="shared" si="58"/>
        <v>40440.300000000003</v>
      </c>
      <c r="K941">
        <f t="shared" si="59"/>
        <v>6332.0999999999985</v>
      </c>
      <c r="L941" t="s">
        <v>30</v>
      </c>
      <c r="M941" t="s">
        <v>18</v>
      </c>
      <c r="N941" t="s">
        <v>19</v>
      </c>
    </row>
    <row r="942" spans="1:14" x14ac:dyDescent="0.3">
      <c r="A942" s="1">
        <v>45274</v>
      </c>
      <c r="B942" s="1" t="str">
        <f t="shared" si="56"/>
        <v>Dec</v>
      </c>
      <c r="C942" s="1" t="str">
        <f t="shared" si="57"/>
        <v>2023</v>
      </c>
      <c r="D942" t="s">
        <v>33</v>
      </c>
      <c r="E942" t="s">
        <v>25</v>
      </c>
      <c r="F942" t="s">
        <v>26</v>
      </c>
      <c r="G942">
        <v>866.42</v>
      </c>
      <c r="H942">
        <v>878.43</v>
      </c>
      <c r="I942">
        <v>33</v>
      </c>
      <c r="J942">
        <f t="shared" si="58"/>
        <v>28988.19</v>
      </c>
      <c r="K942">
        <f t="shared" si="59"/>
        <v>396.3299999999997</v>
      </c>
      <c r="L942" t="s">
        <v>30</v>
      </c>
      <c r="M942" t="s">
        <v>18</v>
      </c>
      <c r="N942" t="s">
        <v>22</v>
      </c>
    </row>
    <row r="943" spans="1:14" x14ac:dyDescent="0.3">
      <c r="A943" s="1">
        <v>45275</v>
      </c>
      <c r="B943" s="1" t="str">
        <f t="shared" si="56"/>
        <v>Dec</v>
      </c>
      <c r="C943" s="1" t="str">
        <f t="shared" si="57"/>
        <v>2023</v>
      </c>
      <c r="D943" t="s">
        <v>14</v>
      </c>
      <c r="E943" t="s">
        <v>21</v>
      </c>
      <c r="F943" t="s">
        <v>35</v>
      </c>
      <c r="G943">
        <v>2231.66</v>
      </c>
      <c r="H943">
        <v>2596.6099999999901</v>
      </c>
      <c r="I943">
        <v>13</v>
      </c>
      <c r="J943">
        <f t="shared" si="58"/>
        <v>33755.929999999869</v>
      </c>
      <c r="K943">
        <f t="shared" si="59"/>
        <v>4744.349999999873</v>
      </c>
      <c r="L943" t="s">
        <v>17</v>
      </c>
      <c r="M943" t="s">
        <v>27</v>
      </c>
      <c r="N943" t="s">
        <v>22</v>
      </c>
    </row>
    <row r="944" spans="1:14" x14ac:dyDescent="0.3">
      <c r="A944" s="1">
        <v>45275</v>
      </c>
      <c r="B944" s="1" t="str">
        <f t="shared" si="56"/>
        <v>Dec</v>
      </c>
      <c r="C944" s="1" t="str">
        <f t="shared" si="57"/>
        <v>2023</v>
      </c>
      <c r="D944" t="s">
        <v>24</v>
      </c>
      <c r="E944" t="s">
        <v>34</v>
      </c>
      <c r="F944" t="s">
        <v>29</v>
      </c>
      <c r="G944">
        <v>1340.51</v>
      </c>
      <c r="H944">
        <v>1567.92</v>
      </c>
      <c r="I944">
        <v>36</v>
      </c>
      <c r="J944">
        <f t="shared" si="58"/>
        <v>56445.120000000003</v>
      </c>
      <c r="K944">
        <f t="shared" si="59"/>
        <v>8186.7600000000029</v>
      </c>
      <c r="L944" t="s">
        <v>30</v>
      </c>
      <c r="M944" t="s">
        <v>18</v>
      </c>
      <c r="N944" t="s">
        <v>19</v>
      </c>
    </row>
    <row r="945" spans="1:14" x14ac:dyDescent="0.3">
      <c r="A945" s="1">
        <v>45275</v>
      </c>
      <c r="B945" s="1" t="str">
        <f t="shared" si="56"/>
        <v>Dec</v>
      </c>
      <c r="C945" s="1" t="str">
        <f t="shared" si="57"/>
        <v>2023</v>
      </c>
      <c r="D945" t="s">
        <v>24</v>
      </c>
      <c r="E945" t="s">
        <v>21</v>
      </c>
      <c r="F945" t="s">
        <v>29</v>
      </c>
      <c r="G945">
        <v>563.59</v>
      </c>
      <c r="H945">
        <v>838.97</v>
      </c>
      <c r="I945">
        <v>6</v>
      </c>
      <c r="J945">
        <f t="shared" si="58"/>
        <v>5033.82</v>
      </c>
      <c r="K945">
        <f t="shared" si="59"/>
        <v>1652.28</v>
      </c>
      <c r="L945" t="s">
        <v>30</v>
      </c>
      <c r="M945" t="s">
        <v>31</v>
      </c>
      <c r="N945" t="s">
        <v>19</v>
      </c>
    </row>
    <row r="946" spans="1:14" x14ac:dyDescent="0.3">
      <c r="A946" s="1">
        <v>45275</v>
      </c>
      <c r="B946" s="1" t="str">
        <f t="shared" si="56"/>
        <v>Dec</v>
      </c>
      <c r="C946" s="1" t="str">
        <f t="shared" si="57"/>
        <v>2023</v>
      </c>
      <c r="D946" t="s">
        <v>24</v>
      </c>
      <c r="E946" t="s">
        <v>25</v>
      </c>
      <c r="F946" t="s">
        <v>29</v>
      </c>
      <c r="G946">
        <v>3587.74</v>
      </c>
      <c r="H946">
        <v>3745.91</v>
      </c>
      <c r="I946">
        <v>42</v>
      </c>
      <c r="J946">
        <f t="shared" si="58"/>
        <v>157328.22</v>
      </c>
      <c r="K946">
        <f t="shared" si="59"/>
        <v>6643.1400000000031</v>
      </c>
      <c r="L946" t="s">
        <v>17</v>
      </c>
      <c r="M946" t="s">
        <v>18</v>
      </c>
      <c r="N946" t="s">
        <v>19</v>
      </c>
    </row>
    <row r="947" spans="1:14" x14ac:dyDescent="0.3">
      <c r="A947" s="1">
        <v>45275</v>
      </c>
      <c r="B947" s="1" t="str">
        <f t="shared" si="56"/>
        <v>Dec</v>
      </c>
      <c r="C947" s="1" t="str">
        <f t="shared" si="57"/>
        <v>2023</v>
      </c>
      <c r="D947" t="s">
        <v>42</v>
      </c>
      <c r="E947" t="s">
        <v>15</v>
      </c>
      <c r="F947" t="s">
        <v>26</v>
      </c>
      <c r="G947">
        <v>2759.26</v>
      </c>
      <c r="H947">
        <v>3193.25</v>
      </c>
      <c r="I947">
        <v>32</v>
      </c>
      <c r="J947">
        <f t="shared" si="58"/>
        <v>102184</v>
      </c>
      <c r="K947">
        <f t="shared" si="59"/>
        <v>13887.679999999993</v>
      </c>
      <c r="L947" t="s">
        <v>30</v>
      </c>
      <c r="M947" t="s">
        <v>27</v>
      </c>
      <c r="N947" t="s">
        <v>19</v>
      </c>
    </row>
    <row r="948" spans="1:14" x14ac:dyDescent="0.3">
      <c r="A948" s="1">
        <v>45275</v>
      </c>
      <c r="B948" s="1" t="str">
        <f t="shared" si="56"/>
        <v>Dec</v>
      </c>
      <c r="C948" s="1" t="str">
        <f t="shared" si="57"/>
        <v>2023</v>
      </c>
      <c r="D948" t="s">
        <v>14</v>
      </c>
      <c r="E948" t="s">
        <v>21</v>
      </c>
      <c r="F948" t="s">
        <v>26</v>
      </c>
      <c r="G948">
        <v>2636.36</v>
      </c>
      <c r="H948">
        <v>2696.78</v>
      </c>
      <c r="I948">
        <v>32</v>
      </c>
      <c r="J948">
        <f t="shared" si="58"/>
        <v>86296.960000000006</v>
      </c>
      <c r="K948">
        <f t="shared" si="59"/>
        <v>1933.4400000000023</v>
      </c>
      <c r="L948" t="s">
        <v>30</v>
      </c>
      <c r="M948" t="s">
        <v>18</v>
      </c>
      <c r="N948" t="s">
        <v>22</v>
      </c>
    </row>
    <row r="949" spans="1:14" x14ac:dyDescent="0.3">
      <c r="A949" s="1">
        <v>45276</v>
      </c>
      <c r="B949" s="1" t="str">
        <f t="shared" si="56"/>
        <v>Dec</v>
      </c>
      <c r="C949" s="1" t="str">
        <f t="shared" si="57"/>
        <v>2023</v>
      </c>
      <c r="D949" t="s">
        <v>38</v>
      </c>
      <c r="E949" t="s">
        <v>34</v>
      </c>
      <c r="F949" t="s">
        <v>29</v>
      </c>
      <c r="G949">
        <v>3784.96</v>
      </c>
      <c r="H949">
        <v>4276.99</v>
      </c>
      <c r="I949">
        <v>44</v>
      </c>
      <c r="J949">
        <f t="shared" si="58"/>
        <v>188187.56</v>
      </c>
      <c r="K949">
        <f t="shared" si="59"/>
        <v>21649.319999999989</v>
      </c>
      <c r="L949" t="s">
        <v>30</v>
      </c>
      <c r="M949" t="s">
        <v>27</v>
      </c>
      <c r="N949" t="s">
        <v>22</v>
      </c>
    </row>
    <row r="950" spans="1:14" x14ac:dyDescent="0.3">
      <c r="A950" s="1">
        <v>45276</v>
      </c>
      <c r="B950" s="1" t="str">
        <f t="shared" si="56"/>
        <v>Dec</v>
      </c>
      <c r="C950" s="1" t="str">
        <f t="shared" si="57"/>
        <v>2023</v>
      </c>
      <c r="D950" t="s">
        <v>14</v>
      </c>
      <c r="E950" t="s">
        <v>15</v>
      </c>
      <c r="F950" t="s">
        <v>16</v>
      </c>
      <c r="G950">
        <v>278.67</v>
      </c>
      <c r="H950">
        <v>423.13</v>
      </c>
      <c r="I950">
        <v>19</v>
      </c>
      <c r="J950">
        <f t="shared" si="58"/>
        <v>8039.47</v>
      </c>
      <c r="K950">
        <f t="shared" si="59"/>
        <v>2744.74</v>
      </c>
      <c r="L950" t="s">
        <v>30</v>
      </c>
      <c r="M950" t="s">
        <v>31</v>
      </c>
      <c r="N950" t="s">
        <v>19</v>
      </c>
    </row>
    <row r="951" spans="1:14" x14ac:dyDescent="0.3">
      <c r="A951" s="1">
        <v>45276</v>
      </c>
      <c r="B951" s="1" t="str">
        <f t="shared" si="56"/>
        <v>Dec</v>
      </c>
      <c r="C951" s="1" t="str">
        <f t="shared" si="57"/>
        <v>2023</v>
      </c>
      <c r="D951" t="s">
        <v>38</v>
      </c>
      <c r="E951" t="s">
        <v>34</v>
      </c>
      <c r="F951" t="s">
        <v>29</v>
      </c>
      <c r="G951">
        <v>3519.63</v>
      </c>
      <c r="H951">
        <v>3774.65</v>
      </c>
      <c r="I951">
        <v>30</v>
      </c>
      <c r="J951">
        <f t="shared" si="58"/>
        <v>113239.5</v>
      </c>
      <c r="K951">
        <f t="shared" si="59"/>
        <v>7650.5999999999995</v>
      </c>
      <c r="L951" t="s">
        <v>30</v>
      </c>
      <c r="M951" t="s">
        <v>31</v>
      </c>
      <c r="N951" t="s">
        <v>22</v>
      </c>
    </row>
    <row r="952" spans="1:14" x14ac:dyDescent="0.3">
      <c r="A952" s="1">
        <v>45278</v>
      </c>
      <c r="B952" s="1" t="str">
        <f t="shared" si="56"/>
        <v>Dec</v>
      </c>
      <c r="C952" s="1" t="str">
        <f t="shared" si="57"/>
        <v>2023</v>
      </c>
      <c r="D952" t="s">
        <v>24</v>
      </c>
      <c r="E952" t="s">
        <v>34</v>
      </c>
      <c r="F952" t="s">
        <v>16</v>
      </c>
      <c r="G952">
        <v>854.68</v>
      </c>
      <c r="H952">
        <v>1115.24</v>
      </c>
      <c r="I952">
        <v>4</v>
      </c>
      <c r="J952">
        <f t="shared" si="58"/>
        <v>4460.96</v>
      </c>
      <c r="K952">
        <f t="shared" si="59"/>
        <v>1042.2400000000002</v>
      </c>
      <c r="L952" t="s">
        <v>30</v>
      </c>
      <c r="M952" t="s">
        <v>31</v>
      </c>
      <c r="N952" t="s">
        <v>22</v>
      </c>
    </row>
    <row r="953" spans="1:14" x14ac:dyDescent="0.3">
      <c r="A953" s="1">
        <v>45278</v>
      </c>
      <c r="B953" s="1" t="str">
        <f t="shared" si="56"/>
        <v>Dec</v>
      </c>
      <c r="C953" s="1" t="str">
        <f t="shared" si="57"/>
        <v>2023</v>
      </c>
      <c r="D953" t="s">
        <v>38</v>
      </c>
      <c r="E953" t="s">
        <v>21</v>
      </c>
      <c r="F953" t="s">
        <v>26</v>
      </c>
      <c r="G953">
        <v>157.15</v>
      </c>
      <c r="H953">
        <v>436.53</v>
      </c>
      <c r="I953">
        <v>40</v>
      </c>
      <c r="J953">
        <f t="shared" si="58"/>
        <v>17461.199999999997</v>
      </c>
      <c r="K953">
        <f t="shared" si="59"/>
        <v>11175.2</v>
      </c>
      <c r="L953" t="s">
        <v>30</v>
      </c>
      <c r="M953" t="s">
        <v>18</v>
      </c>
      <c r="N953" t="s">
        <v>22</v>
      </c>
    </row>
    <row r="954" spans="1:14" x14ac:dyDescent="0.3">
      <c r="A954" s="1">
        <v>45279</v>
      </c>
      <c r="B954" s="1" t="str">
        <f t="shared" si="56"/>
        <v>Dec</v>
      </c>
      <c r="C954" s="1" t="str">
        <f t="shared" si="57"/>
        <v>2023</v>
      </c>
      <c r="D954" t="s">
        <v>38</v>
      </c>
      <c r="E954" t="s">
        <v>15</v>
      </c>
      <c r="F954" t="s">
        <v>26</v>
      </c>
      <c r="G954">
        <v>3085.1</v>
      </c>
      <c r="H954">
        <v>3200.75</v>
      </c>
      <c r="I954">
        <v>21</v>
      </c>
      <c r="J954">
        <f t="shared" si="58"/>
        <v>67215.75</v>
      </c>
      <c r="K954">
        <f t="shared" si="59"/>
        <v>2428.6500000000019</v>
      </c>
      <c r="L954" t="s">
        <v>30</v>
      </c>
      <c r="M954" t="s">
        <v>18</v>
      </c>
      <c r="N954" t="s">
        <v>22</v>
      </c>
    </row>
    <row r="955" spans="1:14" x14ac:dyDescent="0.3">
      <c r="A955" s="1">
        <v>45279</v>
      </c>
      <c r="B955" s="1" t="str">
        <f t="shared" si="56"/>
        <v>Dec</v>
      </c>
      <c r="C955" s="1" t="str">
        <f t="shared" si="57"/>
        <v>2023</v>
      </c>
      <c r="D955" t="s">
        <v>38</v>
      </c>
      <c r="E955" t="s">
        <v>25</v>
      </c>
      <c r="F955" t="s">
        <v>35</v>
      </c>
      <c r="G955">
        <v>4920.46</v>
      </c>
      <c r="H955">
        <v>5079.68</v>
      </c>
      <c r="I955">
        <v>12</v>
      </c>
      <c r="J955">
        <f t="shared" si="58"/>
        <v>60956.160000000003</v>
      </c>
      <c r="K955">
        <f t="shared" si="59"/>
        <v>1910.6400000000031</v>
      </c>
      <c r="L955" t="s">
        <v>30</v>
      </c>
      <c r="M955" t="s">
        <v>31</v>
      </c>
      <c r="N955" t="s">
        <v>22</v>
      </c>
    </row>
    <row r="956" spans="1:14" x14ac:dyDescent="0.3">
      <c r="A956" s="1">
        <v>45279</v>
      </c>
      <c r="B956" s="1" t="str">
        <f t="shared" si="56"/>
        <v>Dec</v>
      </c>
      <c r="C956" s="1" t="str">
        <f t="shared" si="57"/>
        <v>2023</v>
      </c>
      <c r="D956" t="s">
        <v>33</v>
      </c>
      <c r="E956" t="s">
        <v>21</v>
      </c>
      <c r="F956" t="s">
        <v>16</v>
      </c>
      <c r="G956">
        <v>2302.62</v>
      </c>
      <c r="H956">
        <v>2740.93</v>
      </c>
      <c r="I956">
        <v>46</v>
      </c>
      <c r="J956">
        <f t="shared" si="58"/>
        <v>126082.78</v>
      </c>
      <c r="K956">
        <f t="shared" si="59"/>
        <v>20162.259999999998</v>
      </c>
      <c r="L956" t="s">
        <v>17</v>
      </c>
      <c r="M956" t="s">
        <v>27</v>
      </c>
      <c r="N956" t="s">
        <v>19</v>
      </c>
    </row>
    <row r="957" spans="1:14" x14ac:dyDescent="0.3">
      <c r="A957" s="1">
        <v>45279</v>
      </c>
      <c r="B957" s="1" t="str">
        <f t="shared" si="56"/>
        <v>Dec</v>
      </c>
      <c r="C957" s="1" t="str">
        <f t="shared" si="57"/>
        <v>2023</v>
      </c>
      <c r="D957" t="s">
        <v>42</v>
      </c>
      <c r="E957" t="s">
        <v>21</v>
      </c>
      <c r="F957" t="s">
        <v>29</v>
      </c>
      <c r="G957">
        <v>4900.03</v>
      </c>
      <c r="H957">
        <v>5118.83</v>
      </c>
      <c r="I957">
        <v>35</v>
      </c>
      <c r="J957">
        <f t="shared" si="58"/>
        <v>179159.05</v>
      </c>
      <c r="K957">
        <f t="shared" si="59"/>
        <v>7658.0000000000064</v>
      </c>
      <c r="L957" t="s">
        <v>17</v>
      </c>
      <c r="M957" t="s">
        <v>31</v>
      </c>
      <c r="N957" t="s">
        <v>22</v>
      </c>
    </row>
    <row r="958" spans="1:14" x14ac:dyDescent="0.3">
      <c r="A958" s="1">
        <v>45279</v>
      </c>
      <c r="B958" s="1" t="str">
        <f t="shared" si="56"/>
        <v>Dec</v>
      </c>
      <c r="C958" s="1" t="str">
        <f t="shared" si="57"/>
        <v>2023</v>
      </c>
      <c r="D958" t="s">
        <v>42</v>
      </c>
      <c r="E958" t="s">
        <v>34</v>
      </c>
      <c r="F958" t="s">
        <v>29</v>
      </c>
      <c r="G958">
        <v>4590.24</v>
      </c>
      <c r="H958">
        <v>5088.28</v>
      </c>
      <c r="I958">
        <v>20</v>
      </c>
      <c r="J958">
        <f t="shared" si="58"/>
        <v>101765.59999999999</v>
      </c>
      <c r="K958">
        <f t="shared" si="59"/>
        <v>9960.7999999999993</v>
      </c>
      <c r="L958" t="s">
        <v>30</v>
      </c>
      <c r="M958" t="s">
        <v>27</v>
      </c>
      <c r="N958" t="s">
        <v>22</v>
      </c>
    </row>
    <row r="959" spans="1:14" x14ac:dyDescent="0.3">
      <c r="A959" s="1">
        <v>45280</v>
      </c>
      <c r="B959" s="1" t="str">
        <f t="shared" si="56"/>
        <v>Dec</v>
      </c>
      <c r="C959" s="1" t="str">
        <f t="shared" si="57"/>
        <v>2023</v>
      </c>
      <c r="D959" t="s">
        <v>33</v>
      </c>
      <c r="E959" t="s">
        <v>21</v>
      </c>
      <c r="F959" t="s">
        <v>29</v>
      </c>
      <c r="G959">
        <v>2296.9299999999998</v>
      </c>
      <c r="H959">
        <v>2319.62</v>
      </c>
      <c r="I959">
        <v>23</v>
      </c>
      <c r="J959">
        <f t="shared" si="58"/>
        <v>53351.259999999995</v>
      </c>
      <c r="K959">
        <f t="shared" si="59"/>
        <v>521.87000000000126</v>
      </c>
      <c r="L959" t="s">
        <v>17</v>
      </c>
      <c r="M959" t="s">
        <v>27</v>
      </c>
      <c r="N959" t="s">
        <v>22</v>
      </c>
    </row>
    <row r="960" spans="1:14" x14ac:dyDescent="0.3">
      <c r="A960" s="1">
        <v>45280</v>
      </c>
      <c r="B960" s="1" t="str">
        <f t="shared" si="56"/>
        <v>Dec</v>
      </c>
      <c r="C960" s="1" t="str">
        <f t="shared" si="57"/>
        <v>2023</v>
      </c>
      <c r="D960" t="s">
        <v>24</v>
      </c>
      <c r="E960" t="s">
        <v>15</v>
      </c>
      <c r="F960" t="s">
        <v>29</v>
      </c>
      <c r="G960">
        <v>2250.91</v>
      </c>
      <c r="H960">
        <v>2558.6799999999998</v>
      </c>
      <c r="I960">
        <v>2</v>
      </c>
      <c r="J960">
        <f t="shared" si="58"/>
        <v>5117.3599999999997</v>
      </c>
      <c r="K960">
        <f t="shared" si="59"/>
        <v>615.54</v>
      </c>
      <c r="L960" t="s">
        <v>30</v>
      </c>
      <c r="M960" t="s">
        <v>31</v>
      </c>
      <c r="N960" t="s">
        <v>22</v>
      </c>
    </row>
    <row r="961" spans="1:14" x14ac:dyDescent="0.3">
      <c r="A961" s="1">
        <v>45280</v>
      </c>
      <c r="B961" s="1" t="str">
        <f t="shared" si="56"/>
        <v>Dec</v>
      </c>
      <c r="C961" s="1" t="str">
        <f t="shared" si="57"/>
        <v>2023</v>
      </c>
      <c r="D961" t="s">
        <v>38</v>
      </c>
      <c r="E961" t="s">
        <v>15</v>
      </c>
      <c r="F961" t="s">
        <v>16</v>
      </c>
      <c r="G961">
        <v>4682.34</v>
      </c>
      <c r="H961">
        <v>5036.3999999999996</v>
      </c>
      <c r="I961">
        <v>12</v>
      </c>
      <c r="J961">
        <f t="shared" si="58"/>
        <v>60436.799999999996</v>
      </c>
      <c r="K961">
        <f t="shared" si="59"/>
        <v>4248.7199999999939</v>
      </c>
      <c r="L961" t="s">
        <v>30</v>
      </c>
      <c r="M961" t="s">
        <v>27</v>
      </c>
      <c r="N961" t="s">
        <v>22</v>
      </c>
    </row>
    <row r="962" spans="1:14" x14ac:dyDescent="0.3">
      <c r="A962" s="1">
        <v>45280</v>
      </c>
      <c r="B962" s="1" t="str">
        <f t="shared" ref="B962:B1025" si="60">TEXT(A962,"MMM")</f>
        <v>Dec</v>
      </c>
      <c r="C962" s="1" t="str">
        <f t="shared" ref="C962:C1001" si="61">TEXT(A962,"YYYY")</f>
        <v>2023</v>
      </c>
      <c r="D962" t="s">
        <v>24</v>
      </c>
      <c r="E962" t="s">
        <v>21</v>
      </c>
      <c r="F962" t="s">
        <v>35</v>
      </c>
      <c r="G962">
        <v>3685.03</v>
      </c>
      <c r="H962">
        <v>3743.39</v>
      </c>
      <c r="I962">
        <v>39</v>
      </c>
      <c r="J962">
        <f t="shared" ref="J962:J1025" si="62">(I962*H962)</f>
        <v>145992.21</v>
      </c>
      <c r="K962">
        <f t="shared" ref="K962:K1001" si="63">(H962-G962)*I962</f>
        <v>2276.0399999999872</v>
      </c>
      <c r="L962" t="s">
        <v>30</v>
      </c>
      <c r="M962" t="s">
        <v>27</v>
      </c>
      <c r="N962" t="s">
        <v>19</v>
      </c>
    </row>
    <row r="963" spans="1:14" x14ac:dyDescent="0.3">
      <c r="A963" s="1">
        <v>45281</v>
      </c>
      <c r="B963" s="1" t="str">
        <f t="shared" si="60"/>
        <v>Dec</v>
      </c>
      <c r="C963" s="1" t="str">
        <f t="shared" si="61"/>
        <v>2023</v>
      </c>
      <c r="D963" t="s">
        <v>14</v>
      </c>
      <c r="E963" t="s">
        <v>15</v>
      </c>
      <c r="F963" t="s">
        <v>16</v>
      </c>
      <c r="G963">
        <v>2045</v>
      </c>
      <c r="H963">
        <v>2217.5100000000002</v>
      </c>
      <c r="I963">
        <v>44</v>
      </c>
      <c r="J963">
        <f t="shared" si="62"/>
        <v>97570.44</v>
      </c>
      <c r="K963">
        <f t="shared" si="63"/>
        <v>7590.4400000000096</v>
      </c>
      <c r="L963" t="s">
        <v>17</v>
      </c>
      <c r="M963" t="s">
        <v>31</v>
      </c>
      <c r="N963" t="s">
        <v>19</v>
      </c>
    </row>
    <row r="964" spans="1:14" x14ac:dyDescent="0.3">
      <c r="A964" s="1">
        <v>45282</v>
      </c>
      <c r="B964" s="1" t="str">
        <f t="shared" si="60"/>
        <v>Dec</v>
      </c>
      <c r="C964" s="1" t="str">
        <f t="shared" si="61"/>
        <v>2023</v>
      </c>
      <c r="D964" t="s">
        <v>24</v>
      </c>
      <c r="E964" t="s">
        <v>21</v>
      </c>
      <c r="F964" t="s">
        <v>29</v>
      </c>
      <c r="G964">
        <v>1372.36</v>
      </c>
      <c r="H964">
        <v>1687.83</v>
      </c>
      <c r="I964">
        <v>45</v>
      </c>
      <c r="J964">
        <f t="shared" si="62"/>
        <v>75952.349999999991</v>
      </c>
      <c r="K964">
        <f t="shared" si="63"/>
        <v>14196.150000000001</v>
      </c>
      <c r="L964" t="s">
        <v>30</v>
      </c>
      <c r="M964" t="s">
        <v>31</v>
      </c>
      <c r="N964" t="s">
        <v>19</v>
      </c>
    </row>
    <row r="965" spans="1:14" x14ac:dyDescent="0.3">
      <c r="A965" s="1">
        <v>45282</v>
      </c>
      <c r="B965" s="1" t="str">
        <f t="shared" si="60"/>
        <v>Dec</v>
      </c>
      <c r="C965" s="1" t="str">
        <f t="shared" si="61"/>
        <v>2023</v>
      </c>
      <c r="D965" t="s">
        <v>38</v>
      </c>
      <c r="E965" t="s">
        <v>15</v>
      </c>
      <c r="F965" t="s">
        <v>29</v>
      </c>
      <c r="G965">
        <v>4840.33</v>
      </c>
      <c r="H965">
        <v>4884.29</v>
      </c>
      <c r="I965">
        <v>11</v>
      </c>
      <c r="J965">
        <f t="shared" si="62"/>
        <v>53727.19</v>
      </c>
      <c r="K965">
        <f t="shared" si="63"/>
        <v>483.5600000000004</v>
      </c>
      <c r="L965" t="s">
        <v>30</v>
      </c>
      <c r="M965" t="s">
        <v>18</v>
      </c>
      <c r="N965" t="s">
        <v>19</v>
      </c>
    </row>
    <row r="966" spans="1:14" x14ac:dyDescent="0.3">
      <c r="A966" s="1">
        <v>45282</v>
      </c>
      <c r="B966" s="1" t="str">
        <f t="shared" si="60"/>
        <v>Dec</v>
      </c>
      <c r="C966" s="1" t="str">
        <f t="shared" si="61"/>
        <v>2023</v>
      </c>
      <c r="D966" t="s">
        <v>14</v>
      </c>
      <c r="E966" t="s">
        <v>25</v>
      </c>
      <c r="F966" t="s">
        <v>26</v>
      </c>
      <c r="G966">
        <v>1250.5899999999999</v>
      </c>
      <c r="H966">
        <v>1515.48999999999</v>
      </c>
      <c r="I966">
        <v>11</v>
      </c>
      <c r="J966">
        <f t="shared" si="62"/>
        <v>16670.38999999989</v>
      </c>
      <c r="K966">
        <f t="shared" si="63"/>
        <v>2913.899999999891</v>
      </c>
      <c r="L966" t="s">
        <v>17</v>
      </c>
      <c r="M966" t="s">
        <v>27</v>
      </c>
      <c r="N966" t="s">
        <v>22</v>
      </c>
    </row>
    <row r="967" spans="1:14" x14ac:dyDescent="0.3">
      <c r="A967" s="1">
        <v>45282</v>
      </c>
      <c r="B967" s="1" t="str">
        <f t="shared" si="60"/>
        <v>Dec</v>
      </c>
      <c r="C967" s="1" t="str">
        <f t="shared" si="61"/>
        <v>2023</v>
      </c>
      <c r="D967" t="s">
        <v>33</v>
      </c>
      <c r="E967" t="s">
        <v>21</v>
      </c>
      <c r="F967" t="s">
        <v>16</v>
      </c>
      <c r="G967">
        <v>3752.68</v>
      </c>
      <c r="H967">
        <v>4017.91</v>
      </c>
      <c r="I967">
        <v>2</v>
      </c>
      <c r="J967">
        <f t="shared" si="62"/>
        <v>8035.82</v>
      </c>
      <c r="K967">
        <f t="shared" si="63"/>
        <v>530.46</v>
      </c>
      <c r="L967" t="s">
        <v>17</v>
      </c>
      <c r="M967" t="s">
        <v>27</v>
      </c>
      <c r="N967" t="s">
        <v>19</v>
      </c>
    </row>
    <row r="968" spans="1:14" x14ac:dyDescent="0.3">
      <c r="A968" s="1">
        <v>45282</v>
      </c>
      <c r="B968" s="1" t="str">
        <f t="shared" si="60"/>
        <v>Dec</v>
      </c>
      <c r="C968" s="1" t="str">
        <f t="shared" si="61"/>
        <v>2023</v>
      </c>
      <c r="D968" t="s">
        <v>33</v>
      </c>
      <c r="E968" t="s">
        <v>21</v>
      </c>
      <c r="F968" t="s">
        <v>26</v>
      </c>
      <c r="G968">
        <v>1127.8599999999999</v>
      </c>
      <c r="H968">
        <v>1586.29</v>
      </c>
      <c r="I968">
        <v>18</v>
      </c>
      <c r="J968">
        <f t="shared" si="62"/>
        <v>28553.22</v>
      </c>
      <c r="K968">
        <f t="shared" si="63"/>
        <v>8251.7400000000016</v>
      </c>
      <c r="L968" t="s">
        <v>30</v>
      </c>
      <c r="M968" t="s">
        <v>31</v>
      </c>
      <c r="N968" t="s">
        <v>19</v>
      </c>
    </row>
    <row r="969" spans="1:14" x14ac:dyDescent="0.3">
      <c r="A969" s="1">
        <v>45282</v>
      </c>
      <c r="B969" s="1" t="str">
        <f t="shared" si="60"/>
        <v>Dec</v>
      </c>
      <c r="C969" s="1" t="str">
        <f t="shared" si="61"/>
        <v>2023</v>
      </c>
      <c r="D969" t="s">
        <v>42</v>
      </c>
      <c r="E969" t="s">
        <v>15</v>
      </c>
      <c r="F969" t="s">
        <v>29</v>
      </c>
      <c r="G969">
        <v>1364.51</v>
      </c>
      <c r="H969">
        <v>1844.8</v>
      </c>
      <c r="I969">
        <v>45</v>
      </c>
      <c r="J969">
        <f t="shared" si="62"/>
        <v>83016</v>
      </c>
      <c r="K969">
        <f t="shared" si="63"/>
        <v>21613.05</v>
      </c>
      <c r="L969" t="s">
        <v>17</v>
      </c>
      <c r="M969" t="s">
        <v>18</v>
      </c>
      <c r="N969" t="s">
        <v>19</v>
      </c>
    </row>
    <row r="970" spans="1:14" x14ac:dyDescent="0.3">
      <c r="A970" s="1">
        <v>45283</v>
      </c>
      <c r="B970" s="1" t="str">
        <f t="shared" si="60"/>
        <v>Dec</v>
      </c>
      <c r="C970" s="1" t="str">
        <f t="shared" si="61"/>
        <v>2023</v>
      </c>
      <c r="D970" t="s">
        <v>42</v>
      </c>
      <c r="E970" t="s">
        <v>34</v>
      </c>
      <c r="F970" t="s">
        <v>26</v>
      </c>
      <c r="G970">
        <v>1551.25</v>
      </c>
      <c r="H970">
        <v>1994.01</v>
      </c>
      <c r="I970">
        <v>33</v>
      </c>
      <c r="J970">
        <f t="shared" si="62"/>
        <v>65802.33</v>
      </c>
      <c r="K970">
        <f t="shared" si="63"/>
        <v>14611.08</v>
      </c>
      <c r="L970" t="s">
        <v>17</v>
      </c>
      <c r="M970" t="s">
        <v>18</v>
      </c>
      <c r="N970" t="s">
        <v>19</v>
      </c>
    </row>
    <row r="971" spans="1:14" x14ac:dyDescent="0.3">
      <c r="A971" s="1">
        <v>45283</v>
      </c>
      <c r="B971" s="1" t="str">
        <f t="shared" si="60"/>
        <v>Dec</v>
      </c>
      <c r="C971" s="1" t="str">
        <f t="shared" si="61"/>
        <v>2023</v>
      </c>
      <c r="D971" t="s">
        <v>14</v>
      </c>
      <c r="E971" t="s">
        <v>34</v>
      </c>
      <c r="F971" t="s">
        <v>35</v>
      </c>
      <c r="G971">
        <v>3374.72</v>
      </c>
      <c r="H971">
        <v>3483.1499999999901</v>
      </c>
      <c r="I971">
        <v>47</v>
      </c>
      <c r="J971">
        <f t="shared" si="62"/>
        <v>163708.04999999952</v>
      </c>
      <c r="K971">
        <f t="shared" si="63"/>
        <v>5096.2099999995435</v>
      </c>
      <c r="L971" t="s">
        <v>17</v>
      </c>
      <c r="M971" t="s">
        <v>18</v>
      </c>
      <c r="N971" t="s">
        <v>19</v>
      </c>
    </row>
    <row r="972" spans="1:14" x14ac:dyDescent="0.3">
      <c r="A972" s="1">
        <v>45285</v>
      </c>
      <c r="B972" s="1" t="str">
        <f t="shared" si="60"/>
        <v>Dec</v>
      </c>
      <c r="C972" s="1" t="str">
        <f t="shared" si="61"/>
        <v>2023</v>
      </c>
      <c r="D972" t="s">
        <v>42</v>
      </c>
      <c r="E972" t="s">
        <v>25</v>
      </c>
      <c r="F972" t="s">
        <v>16</v>
      </c>
      <c r="G972">
        <v>2146.2399999999998</v>
      </c>
      <c r="H972">
        <v>2173.4699999999998</v>
      </c>
      <c r="I972">
        <v>28</v>
      </c>
      <c r="J972">
        <f t="shared" si="62"/>
        <v>60857.159999999996</v>
      </c>
      <c r="K972">
        <f t="shared" si="63"/>
        <v>762.44000000000051</v>
      </c>
      <c r="L972" t="s">
        <v>17</v>
      </c>
      <c r="M972" t="s">
        <v>18</v>
      </c>
      <c r="N972" t="s">
        <v>22</v>
      </c>
    </row>
    <row r="973" spans="1:14" x14ac:dyDescent="0.3">
      <c r="A973" s="1">
        <v>45285</v>
      </c>
      <c r="B973" s="1" t="str">
        <f t="shared" si="60"/>
        <v>Dec</v>
      </c>
      <c r="C973" s="1" t="str">
        <f t="shared" si="61"/>
        <v>2023</v>
      </c>
      <c r="D973" t="s">
        <v>24</v>
      </c>
      <c r="E973" t="s">
        <v>25</v>
      </c>
      <c r="F973" t="s">
        <v>26</v>
      </c>
      <c r="G973">
        <v>3289.01</v>
      </c>
      <c r="H973">
        <v>3508.14</v>
      </c>
      <c r="I973">
        <v>30</v>
      </c>
      <c r="J973">
        <f t="shared" si="62"/>
        <v>105244.2</v>
      </c>
      <c r="K973">
        <f t="shared" si="63"/>
        <v>6573.8999999999896</v>
      </c>
      <c r="L973" t="s">
        <v>30</v>
      </c>
      <c r="M973" t="s">
        <v>27</v>
      </c>
      <c r="N973" t="s">
        <v>22</v>
      </c>
    </row>
    <row r="974" spans="1:14" x14ac:dyDescent="0.3">
      <c r="A974" s="1">
        <v>45285</v>
      </c>
      <c r="B974" s="1" t="str">
        <f t="shared" si="60"/>
        <v>Dec</v>
      </c>
      <c r="C974" s="1" t="str">
        <f t="shared" si="61"/>
        <v>2023</v>
      </c>
      <c r="D974" t="s">
        <v>24</v>
      </c>
      <c r="E974" t="s">
        <v>15</v>
      </c>
      <c r="F974" t="s">
        <v>35</v>
      </c>
      <c r="G974">
        <v>1249.17</v>
      </c>
      <c r="H974">
        <v>1727.15</v>
      </c>
      <c r="I974">
        <v>43</v>
      </c>
      <c r="J974">
        <f t="shared" si="62"/>
        <v>74267.45</v>
      </c>
      <c r="K974">
        <f t="shared" si="63"/>
        <v>20553.14</v>
      </c>
      <c r="L974" t="s">
        <v>30</v>
      </c>
      <c r="M974" t="s">
        <v>18</v>
      </c>
      <c r="N974" t="s">
        <v>22</v>
      </c>
    </row>
    <row r="975" spans="1:14" x14ac:dyDescent="0.3">
      <c r="A975" s="1">
        <v>45285</v>
      </c>
      <c r="B975" s="1" t="str">
        <f t="shared" si="60"/>
        <v>Dec</v>
      </c>
      <c r="C975" s="1" t="str">
        <f t="shared" si="61"/>
        <v>2023</v>
      </c>
      <c r="D975" t="s">
        <v>14</v>
      </c>
      <c r="E975" t="s">
        <v>15</v>
      </c>
      <c r="F975" t="s">
        <v>29</v>
      </c>
      <c r="G975">
        <v>1154.28</v>
      </c>
      <c r="H975">
        <v>1408.4</v>
      </c>
      <c r="I975">
        <v>25</v>
      </c>
      <c r="J975">
        <f t="shared" si="62"/>
        <v>35210</v>
      </c>
      <c r="K975">
        <f t="shared" si="63"/>
        <v>6353.0000000000027</v>
      </c>
      <c r="L975" t="s">
        <v>17</v>
      </c>
      <c r="M975" t="s">
        <v>27</v>
      </c>
      <c r="N975" t="s">
        <v>22</v>
      </c>
    </row>
    <row r="976" spans="1:14" x14ac:dyDescent="0.3">
      <c r="A976" s="1">
        <v>45285</v>
      </c>
      <c r="B976" s="1" t="str">
        <f t="shared" si="60"/>
        <v>Dec</v>
      </c>
      <c r="C976" s="1" t="str">
        <f t="shared" si="61"/>
        <v>2023</v>
      </c>
      <c r="D976" t="s">
        <v>38</v>
      </c>
      <c r="E976" t="s">
        <v>25</v>
      </c>
      <c r="F976" t="s">
        <v>29</v>
      </c>
      <c r="G976">
        <v>4248.5</v>
      </c>
      <c r="H976">
        <v>4706.7</v>
      </c>
      <c r="I976">
        <v>32</v>
      </c>
      <c r="J976">
        <f t="shared" si="62"/>
        <v>150614.39999999999</v>
      </c>
      <c r="K976">
        <f t="shared" si="63"/>
        <v>14662.399999999994</v>
      </c>
      <c r="L976" t="s">
        <v>30</v>
      </c>
      <c r="M976" t="s">
        <v>27</v>
      </c>
      <c r="N976" t="s">
        <v>22</v>
      </c>
    </row>
    <row r="977" spans="1:14" x14ac:dyDescent="0.3">
      <c r="A977" s="1">
        <v>45286</v>
      </c>
      <c r="B977" s="1" t="str">
        <f t="shared" si="60"/>
        <v>Dec</v>
      </c>
      <c r="C977" s="1" t="str">
        <f t="shared" si="61"/>
        <v>2023</v>
      </c>
      <c r="D977" t="s">
        <v>24</v>
      </c>
      <c r="E977" t="s">
        <v>15</v>
      </c>
      <c r="F977" t="s">
        <v>16</v>
      </c>
      <c r="G977">
        <v>4114.66</v>
      </c>
      <c r="H977">
        <v>4269.0199999999904</v>
      </c>
      <c r="I977">
        <v>17</v>
      </c>
      <c r="J977">
        <f t="shared" si="62"/>
        <v>72573.339999999836</v>
      </c>
      <c r="K977">
        <f t="shared" si="63"/>
        <v>2624.1199999998398</v>
      </c>
      <c r="L977" t="s">
        <v>17</v>
      </c>
      <c r="M977" t="s">
        <v>27</v>
      </c>
      <c r="N977" t="s">
        <v>22</v>
      </c>
    </row>
    <row r="978" spans="1:14" x14ac:dyDescent="0.3">
      <c r="A978" s="1">
        <v>45286</v>
      </c>
      <c r="B978" s="1" t="str">
        <f t="shared" si="60"/>
        <v>Dec</v>
      </c>
      <c r="C978" s="1" t="str">
        <f t="shared" si="61"/>
        <v>2023</v>
      </c>
      <c r="D978" t="s">
        <v>24</v>
      </c>
      <c r="E978" t="s">
        <v>25</v>
      </c>
      <c r="F978" t="s">
        <v>29</v>
      </c>
      <c r="G978">
        <v>4100.62</v>
      </c>
      <c r="H978">
        <v>4230</v>
      </c>
      <c r="I978">
        <v>11</v>
      </c>
      <c r="J978">
        <f t="shared" si="62"/>
        <v>46530</v>
      </c>
      <c r="K978">
        <f t="shared" si="63"/>
        <v>1423.1800000000012</v>
      </c>
      <c r="L978" t="s">
        <v>30</v>
      </c>
      <c r="M978" t="s">
        <v>27</v>
      </c>
      <c r="N978" t="s">
        <v>19</v>
      </c>
    </row>
    <row r="979" spans="1:14" x14ac:dyDescent="0.3">
      <c r="A979" s="1">
        <v>45286</v>
      </c>
      <c r="B979" s="1" t="str">
        <f t="shared" si="60"/>
        <v>Dec</v>
      </c>
      <c r="C979" s="1" t="str">
        <f t="shared" si="61"/>
        <v>2023</v>
      </c>
      <c r="D979" t="s">
        <v>33</v>
      </c>
      <c r="E979" t="s">
        <v>15</v>
      </c>
      <c r="F979" t="s">
        <v>16</v>
      </c>
      <c r="G979">
        <v>1662.83</v>
      </c>
      <c r="H979">
        <v>2074.25</v>
      </c>
      <c r="I979">
        <v>23</v>
      </c>
      <c r="J979">
        <f t="shared" si="62"/>
        <v>47707.75</v>
      </c>
      <c r="K979">
        <f t="shared" si="63"/>
        <v>9462.6600000000017</v>
      </c>
      <c r="L979" t="s">
        <v>30</v>
      </c>
      <c r="M979" t="s">
        <v>27</v>
      </c>
      <c r="N979" t="s">
        <v>19</v>
      </c>
    </row>
    <row r="980" spans="1:14" x14ac:dyDescent="0.3">
      <c r="A980" s="1">
        <v>45286</v>
      </c>
      <c r="B980" s="1" t="str">
        <f t="shared" si="60"/>
        <v>Dec</v>
      </c>
      <c r="C980" s="1" t="str">
        <f t="shared" si="61"/>
        <v>2023</v>
      </c>
      <c r="D980" t="s">
        <v>38</v>
      </c>
      <c r="E980" t="s">
        <v>21</v>
      </c>
      <c r="F980" t="s">
        <v>35</v>
      </c>
      <c r="G980">
        <v>4148.4799999999996</v>
      </c>
      <c r="H980">
        <v>4293.6899999999996</v>
      </c>
      <c r="I980">
        <v>25</v>
      </c>
      <c r="J980">
        <f t="shared" si="62"/>
        <v>107342.24999999999</v>
      </c>
      <c r="K980">
        <f t="shared" si="63"/>
        <v>3630.2500000000009</v>
      </c>
      <c r="L980" t="s">
        <v>30</v>
      </c>
      <c r="M980" t="s">
        <v>27</v>
      </c>
      <c r="N980" t="s">
        <v>19</v>
      </c>
    </row>
    <row r="981" spans="1:14" x14ac:dyDescent="0.3">
      <c r="A981" s="1">
        <v>45287</v>
      </c>
      <c r="B981" s="1" t="str">
        <f t="shared" si="60"/>
        <v>Dec</v>
      </c>
      <c r="C981" s="1" t="str">
        <f t="shared" si="61"/>
        <v>2023</v>
      </c>
      <c r="D981" t="s">
        <v>14</v>
      </c>
      <c r="E981" t="s">
        <v>34</v>
      </c>
      <c r="F981" t="s">
        <v>26</v>
      </c>
      <c r="G981">
        <v>1612.82</v>
      </c>
      <c r="H981">
        <v>1647.25</v>
      </c>
      <c r="I981">
        <v>4</v>
      </c>
      <c r="J981">
        <f t="shared" si="62"/>
        <v>6589</v>
      </c>
      <c r="K981">
        <f t="shared" si="63"/>
        <v>137.72000000000025</v>
      </c>
      <c r="L981" t="s">
        <v>17</v>
      </c>
      <c r="M981" t="s">
        <v>31</v>
      </c>
      <c r="N981" t="s">
        <v>22</v>
      </c>
    </row>
    <row r="982" spans="1:14" x14ac:dyDescent="0.3">
      <c r="A982" s="1">
        <v>45287</v>
      </c>
      <c r="B982" s="1" t="str">
        <f t="shared" si="60"/>
        <v>Dec</v>
      </c>
      <c r="C982" s="1" t="str">
        <f t="shared" si="61"/>
        <v>2023</v>
      </c>
      <c r="D982" t="s">
        <v>14</v>
      </c>
      <c r="E982" t="s">
        <v>25</v>
      </c>
      <c r="F982" t="s">
        <v>16</v>
      </c>
      <c r="G982">
        <v>2403.16</v>
      </c>
      <c r="H982">
        <v>2453.35</v>
      </c>
      <c r="I982">
        <v>31</v>
      </c>
      <c r="J982">
        <f t="shared" si="62"/>
        <v>76053.849999999991</v>
      </c>
      <c r="K982">
        <f t="shared" si="63"/>
        <v>1555.8900000000017</v>
      </c>
      <c r="L982" t="s">
        <v>17</v>
      </c>
      <c r="M982" t="s">
        <v>31</v>
      </c>
      <c r="N982" t="s">
        <v>19</v>
      </c>
    </row>
    <row r="983" spans="1:14" x14ac:dyDescent="0.3">
      <c r="A983" s="1">
        <v>45287</v>
      </c>
      <c r="B983" s="1" t="str">
        <f t="shared" si="60"/>
        <v>Dec</v>
      </c>
      <c r="C983" s="1" t="str">
        <f t="shared" si="61"/>
        <v>2023</v>
      </c>
      <c r="D983" t="s">
        <v>24</v>
      </c>
      <c r="E983" t="s">
        <v>34</v>
      </c>
      <c r="F983" t="s">
        <v>26</v>
      </c>
      <c r="G983">
        <v>1447.72</v>
      </c>
      <c r="H983">
        <v>1875.75</v>
      </c>
      <c r="I983">
        <v>40</v>
      </c>
      <c r="J983">
        <f t="shared" si="62"/>
        <v>75030</v>
      </c>
      <c r="K983">
        <f t="shared" si="63"/>
        <v>17121.199999999997</v>
      </c>
      <c r="L983" t="s">
        <v>30</v>
      </c>
      <c r="M983" t="s">
        <v>18</v>
      </c>
      <c r="N983" t="s">
        <v>22</v>
      </c>
    </row>
    <row r="984" spans="1:14" x14ac:dyDescent="0.3">
      <c r="A984" s="1">
        <v>45288</v>
      </c>
      <c r="B984" s="1" t="str">
        <f t="shared" si="60"/>
        <v>Dec</v>
      </c>
      <c r="C984" s="1" t="str">
        <f t="shared" si="61"/>
        <v>2023</v>
      </c>
      <c r="D984" t="s">
        <v>24</v>
      </c>
      <c r="E984" t="s">
        <v>21</v>
      </c>
      <c r="F984" t="s">
        <v>26</v>
      </c>
      <c r="G984">
        <v>4334.58</v>
      </c>
      <c r="H984">
        <v>4431.04</v>
      </c>
      <c r="I984">
        <v>18</v>
      </c>
      <c r="J984">
        <f t="shared" si="62"/>
        <v>79758.720000000001</v>
      </c>
      <c r="K984">
        <f t="shared" si="63"/>
        <v>1736.2800000000007</v>
      </c>
      <c r="L984" t="s">
        <v>30</v>
      </c>
      <c r="M984" t="s">
        <v>27</v>
      </c>
      <c r="N984" t="s">
        <v>22</v>
      </c>
    </row>
    <row r="985" spans="1:14" x14ac:dyDescent="0.3">
      <c r="A985" s="1">
        <v>45288</v>
      </c>
      <c r="B985" s="1" t="str">
        <f t="shared" si="60"/>
        <v>Dec</v>
      </c>
      <c r="C985" s="1" t="str">
        <f t="shared" si="61"/>
        <v>2023</v>
      </c>
      <c r="D985" t="s">
        <v>14</v>
      </c>
      <c r="E985" t="s">
        <v>21</v>
      </c>
      <c r="F985" t="s">
        <v>16</v>
      </c>
      <c r="G985">
        <v>83.86</v>
      </c>
      <c r="H985">
        <v>526.14</v>
      </c>
      <c r="I985">
        <v>46</v>
      </c>
      <c r="J985">
        <f t="shared" si="62"/>
        <v>24202.44</v>
      </c>
      <c r="K985">
        <f t="shared" si="63"/>
        <v>20344.879999999997</v>
      </c>
      <c r="L985" t="s">
        <v>17</v>
      </c>
      <c r="M985" t="s">
        <v>31</v>
      </c>
      <c r="N985" t="s">
        <v>19</v>
      </c>
    </row>
    <row r="986" spans="1:14" x14ac:dyDescent="0.3">
      <c r="A986" s="1">
        <v>45289</v>
      </c>
      <c r="B986" s="1" t="str">
        <f t="shared" si="60"/>
        <v>Dec</v>
      </c>
      <c r="C986" s="1" t="str">
        <f t="shared" si="61"/>
        <v>2023</v>
      </c>
      <c r="D986" t="s">
        <v>24</v>
      </c>
      <c r="E986" t="s">
        <v>15</v>
      </c>
      <c r="F986" t="s">
        <v>16</v>
      </c>
      <c r="G986">
        <v>1830.61</v>
      </c>
      <c r="H986">
        <v>2044.04</v>
      </c>
      <c r="I986">
        <v>10</v>
      </c>
      <c r="J986">
        <f t="shared" si="62"/>
        <v>20440.400000000001</v>
      </c>
      <c r="K986">
        <f t="shared" si="63"/>
        <v>2134.3000000000006</v>
      </c>
      <c r="L986" t="s">
        <v>30</v>
      </c>
      <c r="M986" t="s">
        <v>18</v>
      </c>
      <c r="N986" t="s">
        <v>19</v>
      </c>
    </row>
    <row r="987" spans="1:14" x14ac:dyDescent="0.3">
      <c r="A987" s="1">
        <v>45289</v>
      </c>
      <c r="B987" s="1" t="str">
        <f t="shared" si="60"/>
        <v>Dec</v>
      </c>
      <c r="C987" s="1" t="str">
        <f t="shared" si="61"/>
        <v>2023</v>
      </c>
      <c r="D987" t="s">
        <v>38</v>
      </c>
      <c r="E987" t="s">
        <v>15</v>
      </c>
      <c r="F987" t="s">
        <v>16</v>
      </c>
      <c r="G987">
        <v>3417.9</v>
      </c>
      <c r="H987">
        <v>3714.52</v>
      </c>
      <c r="I987">
        <v>5</v>
      </c>
      <c r="J987">
        <f t="shared" si="62"/>
        <v>18572.599999999999</v>
      </c>
      <c r="K987">
        <f t="shared" si="63"/>
        <v>1483.0999999999995</v>
      </c>
      <c r="L987" t="s">
        <v>17</v>
      </c>
      <c r="M987" t="s">
        <v>31</v>
      </c>
      <c r="N987" t="s">
        <v>22</v>
      </c>
    </row>
    <row r="988" spans="1:14" x14ac:dyDescent="0.3">
      <c r="A988" s="1">
        <v>45289</v>
      </c>
      <c r="B988" s="1" t="str">
        <f t="shared" si="60"/>
        <v>Dec</v>
      </c>
      <c r="C988" s="1" t="str">
        <f t="shared" si="61"/>
        <v>2023</v>
      </c>
      <c r="D988" t="s">
        <v>33</v>
      </c>
      <c r="E988" t="s">
        <v>25</v>
      </c>
      <c r="F988" t="s">
        <v>26</v>
      </c>
      <c r="G988">
        <v>2945.92</v>
      </c>
      <c r="H988">
        <v>3381.22</v>
      </c>
      <c r="I988">
        <v>38</v>
      </c>
      <c r="J988">
        <f t="shared" si="62"/>
        <v>128486.35999999999</v>
      </c>
      <c r="K988">
        <f t="shared" si="63"/>
        <v>16541.399999999991</v>
      </c>
      <c r="L988" t="s">
        <v>17</v>
      </c>
      <c r="M988" t="s">
        <v>18</v>
      </c>
      <c r="N988" t="s">
        <v>22</v>
      </c>
    </row>
    <row r="989" spans="1:14" x14ac:dyDescent="0.3">
      <c r="A989" s="1">
        <v>45289</v>
      </c>
      <c r="B989" s="1" t="str">
        <f t="shared" si="60"/>
        <v>Dec</v>
      </c>
      <c r="C989" s="1" t="str">
        <f t="shared" si="61"/>
        <v>2023</v>
      </c>
      <c r="D989" t="s">
        <v>24</v>
      </c>
      <c r="E989" t="s">
        <v>15</v>
      </c>
      <c r="F989" t="s">
        <v>35</v>
      </c>
      <c r="G989">
        <v>3160.61</v>
      </c>
      <c r="H989">
        <v>3273.22</v>
      </c>
      <c r="I989">
        <v>34</v>
      </c>
      <c r="J989">
        <f t="shared" si="62"/>
        <v>111289.48</v>
      </c>
      <c r="K989">
        <f t="shared" si="63"/>
        <v>3828.7399999999889</v>
      </c>
      <c r="L989" t="s">
        <v>17</v>
      </c>
      <c r="M989" t="s">
        <v>31</v>
      </c>
      <c r="N989" t="s">
        <v>22</v>
      </c>
    </row>
    <row r="990" spans="1:14" x14ac:dyDescent="0.3">
      <c r="A990" s="1">
        <v>45290</v>
      </c>
      <c r="B990" s="1" t="str">
        <f t="shared" si="60"/>
        <v>Dec</v>
      </c>
      <c r="C990" s="1" t="str">
        <f t="shared" si="61"/>
        <v>2023</v>
      </c>
      <c r="D990" t="s">
        <v>42</v>
      </c>
      <c r="E990" t="s">
        <v>34</v>
      </c>
      <c r="F990" t="s">
        <v>16</v>
      </c>
      <c r="G990">
        <v>395.11</v>
      </c>
      <c r="H990">
        <v>676.66</v>
      </c>
      <c r="I990">
        <v>17</v>
      </c>
      <c r="J990">
        <f t="shared" si="62"/>
        <v>11503.22</v>
      </c>
      <c r="K990">
        <f t="shared" si="63"/>
        <v>4786.3499999999995</v>
      </c>
      <c r="L990" t="s">
        <v>17</v>
      </c>
      <c r="M990" t="s">
        <v>18</v>
      </c>
      <c r="N990" t="s">
        <v>22</v>
      </c>
    </row>
    <row r="991" spans="1:14" x14ac:dyDescent="0.3">
      <c r="A991" s="1">
        <v>45290</v>
      </c>
      <c r="B991" s="1" t="str">
        <f t="shared" si="60"/>
        <v>Dec</v>
      </c>
      <c r="C991" s="1" t="str">
        <f t="shared" si="61"/>
        <v>2023</v>
      </c>
      <c r="D991" t="s">
        <v>24</v>
      </c>
      <c r="E991" t="s">
        <v>21</v>
      </c>
      <c r="F991" t="s">
        <v>35</v>
      </c>
      <c r="G991">
        <v>2097.84</v>
      </c>
      <c r="H991">
        <v>2270.9899999999998</v>
      </c>
      <c r="I991">
        <v>28</v>
      </c>
      <c r="J991">
        <f t="shared" si="62"/>
        <v>63587.719999999994</v>
      </c>
      <c r="K991">
        <f t="shared" si="63"/>
        <v>4848.1999999999898</v>
      </c>
      <c r="L991" t="s">
        <v>30</v>
      </c>
      <c r="M991" t="s">
        <v>31</v>
      </c>
      <c r="N991" t="s">
        <v>22</v>
      </c>
    </row>
    <row r="992" spans="1:14" x14ac:dyDescent="0.3">
      <c r="A992" s="1">
        <v>45290</v>
      </c>
      <c r="B992" s="1" t="str">
        <f t="shared" si="60"/>
        <v>Dec</v>
      </c>
      <c r="C992" s="1" t="str">
        <f t="shared" si="61"/>
        <v>2023</v>
      </c>
      <c r="D992" t="s">
        <v>24</v>
      </c>
      <c r="E992" t="s">
        <v>25</v>
      </c>
      <c r="F992" t="s">
        <v>29</v>
      </c>
      <c r="G992">
        <v>335.82</v>
      </c>
      <c r="H992">
        <v>498.31</v>
      </c>
      <c r="I992">
        <v>9</v>
      </c>
      <c r="J992">
        <f t="shared" si="62"/>
        <v>4484.79</v>
      </c>
      <c r="K992">
        <f t="shared" si="63"/>
        <v>1462.41</v>
      </c>
      <c r="L992" t="s">
        <v>30</v>
      </c>
      <c r="M992" t="s">
        <v>18</v>
      </c>
      <c r="N992" t="s">
        <v>22</v>
      </c>
    </row>
    <row r="993" spans="1:14" x14ac:dyDescent="0.3">
      <c r="A993" s="1">
        <v>45290</v>
      </c>
      <c r="B993" s="1" t="str">
        <f t="shared" si="60"/>
        <v>Dec</v>
      </c>
      <c r="C993" s="1" t="str">
        <f t="shared" si="61"/>
        <v>2023</v>
      </c>
      <c r="D993" t="s">
        <v>14</v>
      </c>
      <c r="E993" t="s">
        <v>21</v>
      </c>
      <c r="F993" t="s">
        <v>35</v>
      </c>
      <c r="G993">
        <v>3124.87</v>
      </c>
      <c r="H993">
        <v>3383.67</v>
      </c>
      <c r="I993">
        <v>29</v>
      </c>
      <c r="J993">
        <f t="shared" si="62"/>
        <v>98126.430000000008</v>
      </c>
      <c r="K993">
        <f t="shared" si="63"/>
        <v>7505.2000000000053</v>
      </c>
      <c r="L993" t="s">
        <v>30</v>
      </c>
      <c r="M993" t="s">
        <v>31</v>
      </c>
      <c r="N993" t="s">
        <v>22</v>
      </c>
    </row>
    <row r="994" spans="1:14" x14ac:dyDescent="0.3">
      <c r="A994" s="1">
        <v>45291</v>
      </c>
      <c r="B994" s="1" t="str">
        <f t="shared" si="60"/>
        <v>Dec</v>
      </c>
      <c r="C994" s="1" t="str">
        <f t="shared" si="61"/>
        <v>2023</v>
      </c>
      <c r="D994" t="s">
        <v>42</v>
      </c>
      <c r="E994" t="s">
        <v>25</v>
      </c>
      <c r="F994" t="s">
        <v>16</v>
      </c>
      <c r="G994">
        <v>4190.28</v>
      </c>
      <c r="H994">
        <v>4270.6499999999996</v>
      </c>
      <c r="I994">
        <v>30</v>
      </c>
      <c r="J994">
        <f t="shared" si="62"/>
        <v>128119.49999999999</v>
      </c>
      <c r="K994">
        <f t="shared" si="63"/>
        <v>2411.0999999999967</v>
      </c>
      <c r="L994" t="s">
        <v>30</v>
      </c>
      <c r="M994" t="s">
        <v>18</v>
      </c>
      <c r="N994" t="s">
        <v>19</v>
      </c>
    </row>
    <row r="995" spans="1:14" x14ac:dyDescent="0.3">
      <c r="A995" s="1">
        <v>45291</v>
      </c>
      <c r="B995" s="1" t="str">
        <f t="shared" si="60"/>
        <v>Dec</v>
      </c>
      <c r="C995" s="1" t="str">
        <f t="shared" si="61"/>
        <v>2023</v>
      </c>
      <c r="D995" t="s">
        <v>42</v>
      </c>
      <c r="E995" t="s">
        <v>21</v>
      </c>
      <c r="F995" t="s">
        <v>29</v>
      </c>
      <c r="G995">
        <v>1910.47</v>
      </c>
      <c r="H995">
        <v>2217.8000000000002</v>
      </c>
      <c r="I995">
        <v>44</v>
      </c>
      <c r="J995">
        <f t="shared" si="62"/>
        <v>97583.200000000012</v>
      </c>
      <c r="K995">
        <f t="shared" si="63"/>
        <v>13522.520000000008</v>
      </c>
      <c r="L995" t="s">
        <v>30</v>
      </c>
      <c r="M995" t="s">
        <v>27</v>
      </c>
      <c r="N995" t="s">
        <v>19</v>
      </c>
    </row>
    <row r="996" spans="1:14" x14ac:dyDescent="0.3">
      <c r="A996" s="1">
        <v>45291</v>
      </c>
      <c r="B996" s="1" t="str">
        <f t="shared" si="60"/>
        <v>Dec</v>
      </c>
      <c r="C996" s="1" t="str">
        <f t="shared" si="61"/>
        <v>2023</v>
      </c>
      <c r="D996" t="s">
        <v>42</v>
      </c>
      <c r="E996" t="s">
        <v>25</v>
      </c>
      <c r="F996" t="s">
        <v>29</v>
      </c>
      <c r="G996">
        <v>3419.33</v>
      </c>
      <c r="H996">
        <v>3890.3599999999901</v>
      </c>
      <c r="I996">
        <v>33</v>
      </c>
      <c r="J996">
        <f t="shared" si="62"/>
        <v>128381.87999999967</v>
      </c>
      <c r="K996">
        <f t="shared" si="63"/>
        <v>15543.989999999676</v>
      </c>
      <c r="L996" t="s">
        <v>17</v>
      </c>
      <c r="M996" t="s">
        <v>18</v>
      </c>
      <c r="N996" t="s">
        <v>22</v>
      </c>
    </row>
    <row r="997" spans="1:14" x14ac:dyDescent="0.3">
      <c r="A997" s="1">
        <v>45291</v>
      </c>
      <c r="B997" s="1" t="str">
        <f t="shared" si="60"/>
        <v>Dec</v>
      </c>
      <c r="C997" s="1" t="str">
        <f t="shared" si="61"/>
        <v>2023</v>
      </c>
      <c r="D997" t="s">
        <v>38</v>
      </c>
      <c r="E997" t="s">
        <v>21</v>
      </c>
      <c r="F997" t="s">
        <v>29</v>
      </c>
      <c r="G997">
        <v>4665.12</v>
      </c>
      <c r="H997">
        <v>4675.8999999999996</v>
      </c>
      <c r="I997">
        <v>46</v>
      </c>
      <c r="J997">
        <f t="shared" si="62"/>
        <v>215091.4</v>
      </c>
      <c r="K997">
        <f t="shared" si="63"/>
        <v>495.87999999998829</v>
      </c>
      <c r="L997" t="s">
        <v>30</v>
      </c>
      <c r="M997" t="s">
        <v>18</v>
      </c>
      <c r="N997" t="s">
        <v>22</v>
      </c>
    </row>
    <row r="998" spans="1:14" x14ac:dyDescent="0.3">
      <c r="A998" s="1">
        <v>45291</v>
      </c>
      <c r="B998" s="1" t="str">
        <f t="shared" si="60"/>
        <v>Dec</v>
      </c>
      <c r="C998" s="1" t="str">
        <f t="shared" si="61"/>
        <v>2023</v>
      </c>
      <c r="D998" t="s">
        <v>14</v>
      </c>
      <c r="E998" t="s">
        <v>25</v>
      </c>
      <c r="F998" t="s">
        <v>26</v>
      </c>
      <c r="G998">
        <v>4111.93</v>
      </c>
      <c r="H998">
        <v>4338.67</v>
      </c>
      <c r="I998">
        <v>15</v>
      </c>
      <c r="J998">
        <f t="shared" si="62"/>
        <v>65080.05</v>
      </c>
      <c r="K998">
        <f t="shared" si="63"/>
        <v>3401.0999999999967</v>
      </c>
      <c r="L998" t="s">
        <v>17</v>
      </c>
      <c r="M998" t="s">
        <v>31</v>
      </c>
      <c r="N998" t="s">
        <v>19</v>
      </c>
    </row>
    <row r="999" spans="1:14" x14ac:dyDescent="0.3">
      <c r="A999" s="1">
        <v>45292</v>
      </c>
      <c r="B999" s="1" t="str">
        <f t="shared" si="60"/>
        <v>Jan</v>
      </c>
      <c r="C999" s="1" t="str">
        <f t="shared" si="61"/>
        <v>2024</v>
      </c>
      <c r="D999" t="s">
        <v>42</v>
      </c>
      <c r="E999" t="s">
        <v>21</v>
      </c>
      <c r="F999" t="s">
        <v>35</v>
      </c>
      <c r="G999">
        <v>1362.78</v>
      </c>
      <c r="H999">
        <v>1729.81</v>
      </c>
      <c r="I999">
        <v>24</v>
      </c>
      <c r="J999">
        <f t="shared" si="62"/>
        <v>41515.440000000002</v>
      </c>
      <c r="K999">
        <f t="shared" si="63"/>
        <v>8808.7199999999993</v>
      </c>
      <c r="L999" t="s">
        <v>30</v>
      </c>
      <c r="M999" t="s">
        <v>27</v>
      </c>
      <c r="N999" t="s">
        <v>19</v>
      </c>
    </row>
    <row r="1000" spans="1:14" x14ac:dyDescent="0.3">
      <c r="A1000" s="1">
        <v>45292</v>
      </c>
      <c r="B1000" s="1" t="str">
        <f t="shared" si="60"/>
        <v>Jan</v>
      </c>
      <c r="C1000" s="1" t="str">
        <f t="shared" si="61"/>
        <v>2024</v>
      </c>
      <c r="D1000" t="s">
        <v>24</v>
      </c>
      <c r="E1000" t="s">
        <v>34</v>
      </c>
      <c r="F1000" t="s">
        <v>26</v>
      </c>
      <c r="G1000">
        <v>63.41</v>
      </c>
      <c r="H1000">
        <v>314.93</v>
      </c>
      <c r="I1000">
        <v>42</v>
      </c>
      <c r="J1000">
        <f t="shared" si="62"/>
        <v>13227.06</v>
      </c>
      <c r="K1000">
        <f t="shared" si="63"/>
        <v>10563.84</v>
      </c>
      <c r="L1000" t="s">
        <v>17</v>
      </c>
      <c r="M1000" t="s">
        <v>18</v>
      </c>
      <c r="N1000" t="s">
        <v>22</v>
      </c>
    </row>
    <row r="1001" spans="1:14" x14ac:dyDescent="0.3">
      <c r="A1001" s="1">
        <v>45292</v>
      </c>
      <c r="B1001" s="1" t="str">
        <f t="shared" si="60"/>
        <v>Jan</v>
      </c>
      <c r="C1001" s="1" t="str">
        <f t="shared" si="61"/>
        <v>2024</v>
      </c>
      <c r="D1001" t="s">
        <v>14</v>
      </c>
      <c r="E1001" t="s">
        <v>25</v>
      </c>
      <c r="F1001" t="s">
        <v>29</v>
      </c>
      <c r="G1001">
        <v>213.41</v>
      </c>
      <c r="H1001">
        <v>503.36</v>
      </c>
      <c r="I1001">
        <v>11</v>
      </c>
      <c r="J1001">
        <f t="shared" si="62"/>
        <v>5536.96</v>
      </c>
      <c r="K1001">
        <f t="shared" si="63"/>
        <v>3189.4500000000007</v>
      </c>
      <c r="L1001" t="s">
        <v>17</v>
      </c>
      <c r="M1001" t="s">
        <v>27</v>
      </c>
      <c r="N10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1B05-5CD6-4899-BBAB-8490BE8679C0}">
  <dimension ref="A2:Q23"/>
  <sheetViews>
    <sheetView zoomScale="72" zoomScaleNormal="72" workbookViewId="0">
      <selection activeCell="B14" sqref="B14:B19"/>
    </sheetView>
  </sheetViews>
  <sheetFormatPr defaultRowHeight="14.4" x14ac:dyDescent="0.3"/>
  <cols>
    <col min="1" max="1" width="13.5546875" bestFit="1" customWidth="1"/>
    <col min="2" max="2" width="22.21875" bestFit="1" customWidth="1"/>
    <col min="4" max="4" width="13.5546875" bestFit="1" customWidth="1"/>
    <col min="5" max="5" width="22.21875" bestFit="1" customWidth="1"/>
    <col min="6" max="6" width="5" bestFit="1" customWidth="1"/>
    <col min="7" max="7" width="13.5546875" bestFit="1" customWidth="1"/>
    <col min="8" max="8" width="22.21875" bestFit="1" customWidth="1"/>
    <col min="9" max="9" width="11" bestFit="1" customWidth="1"/>
    <col min="10" max="10" width="13.5546875" bestFit="1" customWidth="1"/>
    <col min="11" max="11" width="22.21875" bestFit="1" customWidth="1"/>
    <col min="16" max="16" width="22.21875" bestFit="1" customWidth="1"/>
    <col min="17" max="17" width="17.5546875" bestFit="1" customWidth="1"/>
  </cols>
  <sheetData>
    <row r="2" spans="1:17" x14ac:dyDescent="0.3">
      <c r="P2" t="s">
        <v>60</v>
      </c>
      <c r="Q2" t="s">
        <v>62</v>
      </c>
    </row>
    <row r="3" spans="1:17" x14ac:dyDescent="0.3">
      <c r="A3" s="2" t="s">
        <v>58</v>
      </c>
      <c r="B3" t="s">
        <v>60</v>
      </c>
      <c r="D3" s="2" t="s">
        <v>58</v>
      </c>
      <c r="E3" t="s">
        <v>60</v>
      </c>
      <c r="G3" s="2" t="s">
        <v>58</v>
      </c>
      <c r="H3" s="5" t="s">
        <v>60</v>
      </c>
      <c r="J3" s="2" t="s">
        <v>58</v>
      </c>
      <c r="K3" t="s">
        <v>60</v>
      </c>
      <c r="P3" s="4">
        <v>70329940.709999919</v>
      </c>
      <c r="Q3" s="4">
        <v>6487847.069999977</v>
      </c>
    </row>
    <row r="4" spans="1:17" x14ac:dyDescent="0.3">
      <c r="A4" s="3" t="s">
        <v>34</v>
      </c>
      <c r="B4" s="5">
        <v>18077401.049999993</v>
      </c>
      <c r="D4" s="3" t="s">
        <v>29</v>
      </c>
      <c r="E4" s="5">
        <v>19286733.930000007</v>
      </c>
      <c r="G4" s="3" t="s">
        <v>61</v>
      </c>
      <c r="H4" s="5">
        <v>5800626.509999997</v>
      </c>
      <c r="J4" s="3" t="s">
        <v>30</v>
      </c>
      <c r="K4" s="5">
        <v>36529262.009999998</v>
      </c>
    </row>
    <row r="5" spans="1:17" x14ac:dyDescent="0.3">
      <c r="A5" s="3" t="s">
        <v>15</v>
      </c>
      <c r="B5" s="5">
        <v>18208403.849999994</v>
      </c>
      <c r="D5" s="3" t="s">
        <v>35</v>
      </c>
      <c r="E5" s="5">
        <v>17571040.569999997</v>
      </c>
      <c r="G5" s="3" t="s">
        <v>63</v>
      </c>
      <c r="H5" s="5">
        <v>7488100.5099999961</v>
      </c>
      <c r="J5" s="3" t="s">
        <v>17</v>
      </c>
      <c r="K5" s="5">
        <v>33800678.700000018</v>
      </c>
    </row>
    <row r="6" spans="1:17" x14ac:dyDescent="0.3">
      <c r="A6" s="3" t="s">
        <v>25</v>
      </c>
      <c r="B6" s="5">
        <v>16282567.16</v>
      </c>
      <c r="D6" s="3" t="s">
        <v>26</v>
      </c>
      <c r="E6" s="5">
        <v>15141885.650000008</v>
      </c>
      <c r="G6" s="3" t="s">
        <v>64</v>
      </c>
      <c r="H6" s="5">
        <v>5627477.4499999974</v>
      </c>
      <c r="J6" s="3" t="s">
        <v>59</v>
      </c>
      <c r="K6" s="5">
        <v>70329940.710000008</v>
      </c>
    </row>
    <row r="7" spans="1:17" x14ac:dyDescent="0.3">
      <c r="A7" s="3" t="s">
        <v>21</v>
      </c>
      <c r="B7" s="5">
        <v>17761568.649999991</v>
      </c>
      <c r="D7" s="3" t="s">
        <v>16</v>
      </c>
      <c r="E7" s="5">
        <v>18330280.559999995</v>
      </c>
      <c r="G7" s="3" t="s">
        <v>65</v>
      </c>
      <c r="H7" s="5">
        <v>6008259.4100000001</v>
      </c>
    </row>
    <row r="8" spans="1:17" x14ac:dyDescent="0.3">
      <c r="A8" s="3" t="s">
        <v>59</v>
      </c>
      <c r="B8" s="5">
        <v>70329940.709999979</v>
      </c>
      <c r="D8" s="3" t="s">
        <v>59</v>
      </c>
      <c r="E8" s="5">
        <v>70329940.710000008</v>
      </c>
      <c r="G8" s="3" t="s">
        <v>66</v>
      </c>
      <c r="H8" s="5">
        <v>5468497.6199999992</v>
      </c>
    </row>
    <row r="9" spans="1:17" x14ac:dyDescent="0.3">
      <c r="G9" s="3" t="s">
        <v>67</v>
      </c>
      <c r="H9" s="5">
        <v>6142561.2299999967</v>
      </c>
    </row>
    <row r="10" spans="1:17" x14ac:dyDescent="0.3">
      <c r="G10" s="3" t="s">
        <v>68</v>
      </c>
      <c r="H10" s="5">
        <v>4751432.4199999981</v>
      </c>
      <c r="J10" s="2" t="s">
        <v>58</v>
      </c>
      <c r="K10" s="5" t="s">
        <v>62</v>
      </c>
    </row>
    <row r="11" spans="1:17" x14ac:dyDescent="0.3">
      <c r="G11" s="3" t="s">
        <v>69</v>
      </c>
      <c r="H11" s="5">
        <v>6716190.6099999985</v>
      </c>
      <c r="J11" s="3" t="s">
        <v>29</v>
      </c>
      <c r="K11" s="5">
        <v>1712957.7999999933</v>
      </c>
    </row>
    <row r="12" spans="1:17" x14ac:dyDescent="0.3">
      <c r="G12" s="3" t="s">
        <v>70</v>
      </c>
      <c r="H12" s="5">
        <v>4557015.5799999991</v>
      </c>
      <c r="J12" s="3" t="s">
        <v>35</v>
      </c>
      <c r="K12" s="5">
        <v>1574320.0599999938</v>
      </c>
    </row>
    <row r="13" spans="1:17" x14ac:dyDescent="0.3">
      <c r="A13" s="2" t="s">
        <v>58</v>
      </c>
      <c r="B13" t="s">
        <v>60</v>
      </c>
      <c r="D13" s="2" t="s">
        <v>58</v>
      </c>
      <c r="E13" t="s">
        <v>60</v>
      </c>
      <c r="G13" s="3" t="s">
        <v>71</v>
      </c>
      <c r="H13" s="5">
        <v>6560606.3899999997</v>
      </c>
      <c r="J13" s="3" t="s">
        <v>26</v>
      </c>
      <c r="K13" s="5">
        <v>1421108.0499999949</v>
      </c>
    </row>
    <row r="14" spans="1:17" x14ac:dyDescent="0.3">
      <c r="A14" s="3" t="s">
        <v>42</v>
      </c>
      <c r="B14" s="5">
        <v>13397730.089999998</v>
      </c>
      <c r="D14" s="3" t="s">
        <v>19</v>
      </c>
      <c r="E14" s="5">
        <v>35739707.199999981</v>
      </c>
      <c r="G14" s="3" t="s">
        <v>72</v>
      </c>
      <c r="H14" s="5">
        <v>4958930.1899999976</v>
      </c>
      <c r="J14" s="3" t="s">
        <v>16</v>
      </c>
      <c r="K14" s="5">
        <v>1779461.1599999936</v>
      </c>
    </row>
    <row r="15" spans="1:17" x14ac:dyDescent="0.3">
      <c r="A15" s="3" t="s">
        <v>14</v>
      </c>
      <c r="B15" s="5">
        <v>13712628.18</v>
      </c>
      <c r="D15" s="3" t="s">
        <v>22</v>
      </c>
      <c r="E15" s="5">
        <v>34590233.50999999</v>
      </c>
      <c r="G15" s="3" t="s">
        <v>73</v>
      </c>
      <c r="H15" s="5">
        <v>6250242.7899999972</v>
      </c>
      <c r="J15" s="3" t="s">
        <v>59</v>
      </c>
      <c r="K15" s="5">
        <v>6487847.0699999761</v>
      </c>
    </row>
    <row r="16" spans="1:17" x14ac:dyDescent="0.3">
      <c r="A16" s="3" t="s">
        <v>33</v>
      </c>
      <c r="B16" s="5">
        <v>11552249.049999991</v>
      </c>
      <c r="D16" s="3" t="s">
        <v>59</v>
      </c>
      <c r="E16" s="5">
        <v>70329940.709999979</v>
      </c>
      <c r="G16" s="3" t="s">
        <v>59</v>
      </c>
      <c r="H16" s="5">
        <v>70329940.709999979</v>
      </c>
    </row>
    <row r="17" spans="1:5" x14ac:dyDescent="0.3">
      <c r="A17" s="3" t="s">
        <v>24</v>
      </c>
      <c r="B17" s="5">
        <v>16395583.949999997</v>
      </c>
    </row>
    <row r="18" spans="1:5" x14ac:dyDescent="0.3">
      <c r="A18" s="3" t="s">
        <v>38</v>
      </c>
      <c r="B18" s="5">
        <v>15271749.440000009</v>
      </c>
    </row>
    <row r="19" spans="1:5" x14ac:dyDescent="0.3">
      <c r="A19" s="3" t="s">
        <v>59</v>
      </c>
      <c r="B19" s="5">
        <v>70329940.709999993</v>
      </c>
      <c r="D19" s="2" t="s">
        <v>58</v>
      </c>
      <c r="E19" s="5" t="s">
        <v>60</v>
      </c>
    </row>
    <row r="20" spans="1:5" x14ac:dyDescent="0.3">
      <c r="D20" s="3" t="s">
        <v>27</v>
      </c>
      <c r="E20" s="5">
        <v>24594074.5</v>
      </c>
    </row>
    <row r="21" spans="1:5" x14ac:dyDescent="0.3">
      <c r="D21" s="3" t="s">
        <v>18</v>
      </c>
      <c r="E21" s="5">
        <v>22190511.489999995</v>
      </c>
    </row>
    <row r="22" spans="1:5" x14ac:dyDescent="0.3">
      <c r="D22" s="3" t="s">
        <v>31</v>
      </c>
      <c r="E22" s="5">
        <v>23545354.72000001</v>
      </c>
    </row>
    <row r="23" spans="1:5" x14ac:dyDescent="0.3">
      <c r="D23" s="3" t="s">
        <v>59</v>
      </c>
      <c r="E23" s="5">
        <v>70329940.710000008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304F-7823-4814-8BE2-200E2AEA8911}">
  <dimension ref="A1"/>
  <sheetViews>
    <sheetView showGridLines="0" tabSelected="1" zoomScaleNormal="100" workbookViewId="0">
      <selection activeCell="T9" sqref="T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Cleaned_data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varunraj tnr</dc:creator>
  <cp:lastModifiedBy>varunraj tnr</cp:lastModifiedBy>
  <dcterms:created xsi:type="dcterms:W3CDTF">2026-03-11T12:24:44Z</dcterms:created>
  <dcterms:modified xsi:type="dcterms:W3CDTF">2026-03-11T12:24:44Z</dcterms:modified>
</cp:coreProperties>
</file>